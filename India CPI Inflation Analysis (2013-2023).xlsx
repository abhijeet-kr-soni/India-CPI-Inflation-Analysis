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tables/table8.xml" ContentType="application/vnd.openxmlformats-officedocument.spreadsheetml.table+xml"/>
  <Override PartName="/xl/queryTables/queryTable6.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queryTables/queryTable7.xml" ContentType="application/vnd.openxmlformats-officedocument.spreadsheetml.queryTable+xml"/>
  <Override PartName="/xl/tables/table10.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1.xml" ContentType="application/vnd.openxmlformats-officedocument.spreadsheetml.table+xml"/>
  <Override PartName="/xl/queryTables/queryTable8.xml" ContentType="application/vnd.openxmlformats-officedocument.spreadsheetml.queryTable+xml"/>
  <Override PartName="/xl/drawings/drawing6.xml" ContentType="application/vnd.openxmlformats-officedocument.drawing+xml"/>
  <Override PartName="/xl/tables/table12.xml" ContentType="application/vnd.openxmlformats-officedocument.spreadsheetml.table+xml"/>
  <Override PartName="/xl/drawings/drawing7.xml" ContentType="application/vnd.openxmlformats-officedocument.drawing+xml"/>
  <Override PartName="/xl/tables/table13.xml" ContentType="application/vnd.openxmlformats-officedocument.spreadsheetml.table+xml"/>
  <Override PartName="/xl/drawings/drawing8.xml" ContentType="application/vnd.openxmlformats-officedocument.drawing+xml"/>
  <Override PartName="/xl/tables/table14.xml" ContentType="application/vnd.openxmlformats-officedocument.spreadsheetml.table+xml"/>
  <Override PartName="/xl/queryTables/queryTable9.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hidePivotFieldList="1"/>
  <mc:AlternateContent xmlns:mc="http://schemas.openxmlformats.org/markup-compatibility/2006">
    <mc:Choice Requires="x15">
      <x15ac:absPath xmlns:x15ac="http://schemas.microsoft.com/office/spreadsheetml/2010/11/ac" url="https://d.docs.live.net/AA79FDE43836A407/Documents/"/>
    </mc:Choice>
  </mc:AlternateContent>
  <xr:revisionPtr revIDLastSave="0" documentId="8_{3A27566E-99C7-44E6-A145-28532D9C9864}" xr6:coauthVersionLast="47" xr6:coauthVersionMax="47" xr10:uidLastSave="{00000000-0000-0000-0000-000000000000}"/>
  <bookViews>
    <workbookView xWindow="-108" yWindow="-108" windowWidth="23256" windowHeight="12456" firstSheet="1" activeTab="2" xr2:uid="{A052F16A-0E1F-48F3-A3AF-FFCD330FB580}"/>
  </bookViews>
  <sheets>
    <sheet name="Raw CPI" sheetId="2" r:id="rId1"/>
    <sheet name="Cleaned CPI data" sheetId="3" r:id="rId2"/>
    <sheet name="analysis 1" sheetId="4" r:id="rId3"/>
    <sheet name="Analysis 2" sheetId="10" r:id="rId4"/>
    <sheet name="Analysis 3" sheetId="11" r:id="rId5"/>
    <sheet name="Analysis 4" sheetId="12" r:id="rId6"/>
    <sheet name="Analysis 5" sheetId="15" r:id="rId7"/>
    <sheet name="Rural+Urban Combined" sheetId="5" r:id="rId8"/>
    <sheet name="Null imputation" sheetId="6" r:id="rId9"/>
    <sheet name="April19" sheetId="8" r:id="rId10"/>
    <sheet name="Imported Oil price index" sheetId="14" r:id="rId11"/>
  </sheets>
  <definedNames>
    <definedName name="ExternalData_1" localSheetId="10" hidden="1">'Imported Oil price index'!$A$3:$C$32</definedName>
    <definedName name="ExternalData_1" localSheetId="0" hidden="1">'Raw CPI'!$A$1:$AD$373</definedName>
    <definedName name="ExternalData_2" localSheetId="1" hidden="1">'Cleaned CPI data'!$A$1:$AF$373</definedName>
    <definedName name="ExternalData_3" localSheetId="2" hidden="1">'analysis 1'!$A$4:$D$28</definedName>
    <definedName name="ExternalData_3" localSheetId="7" hidden="1">'Rural+Urban Combined'!$A$1:$AF$126</definedName>
    <definedName name="ExternalData_4" localSheetId="3" hidden="1">'Analysis 2'!$A$4:$B$11</definedName>
    <definedName name="ExternalData_4" localSheetId="4" hidden="1">'Analysis 3'!$A$4:$R$17</definedName>
    <definedName name="ExternalData_4" localSheetId="5" hidden="1">'Analysis 4'!$A$4:$S$43</definedName>
    <definedName name="ExternalData_4" localSheetId="6" hidden="1">'Analysis 5'!$A$4:$BH$34</definedName>
    <definedName name="Slicer_Sector">#N/A</definedName>
  </definedNames>
  <calcPr calcId="191028"/>
  <pivotCaches>
    <pivotCache cacheId="849" r:id="rId1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53" i="12" l="1"/>
  <c r="H52" i="12"/>
  <c r="H51" i="12"/>
  <c r="H50" i="12"/>
  <c r="H49" i="12"/>
  <c r="G47" i="15"/>
  <c r="H47" i="15" s="1"/>
  <c r="H43" i="15"/>
  <c r="H44" i="15"/>
  <c r="H45" i="15"/>
  <c r="H46" i="15"/>
  <c r="H48" i="15"/>
  <c r="H49" i="15"/>
  <c r="H50" i="15"/>
  <c r="H51" i="15"/>
  <c r="H52" i="15"/>
  <c r="H53" i="15"/>
  <c r="H54" i="15"/>
  <c r="H55" i="15"/>
  <c r="H56" i="15"/>
  <c r="H57" i="15"/>
  <c r="H58" i="15"/>
  <c r="H59" i="15"/>
  <c r="H60" i="15"/>
  <c r="H61" i="15"/>
  <c r="H62" i="15"/>
  <c r="H63" i="15"/>
  <c r="H64" i="15"/>
  <c r="H65" i="15"/>
  <c r="H66" i="15"/>
  <c r="H67" i="15"/>
  <c r="H68" i="15"/>
  <c r="H42" i="15"/>
  <c r="G68" i="15"/>
  <c r="G67" i="15"/>
  <c r="G66" i="15"/>
  <c r="G65" i="15"/>
  <c r="G64" i="15"/>
  <c r="G63" i="15"/>
  <c r="G62" i="15"/>
  <c r="G61" i="15"/>
  <c r="G60" i="15"/>
  <c r="G59" i="15"/>
  <c r="G58" i="15"/>
  <c r="G57" i="15"/>
  <c r="G56" i="15"/>
  <c r="G55" i="15"/>
  <c r="G54" i="15"/>
  <c r="G53" i="15"/>
  <c r="G52" i="15"/>
  <c r="G51" i="15"/>
  <c r="G50" i="15"/>
  <c r="G49" i="15"/>
  <c r="G48" i="15"/>
  <c r="G46" i="15"/>
  <c r="G45" i="15"/>
  <c r="G44" i="15"/>
  <c r="G43" i="15"/>
  <c r="G42" i="15"/>
  <c r="C7" i="10"/>
  <c r="C8" i="10"/>
  <c r="C9" i="10"/>
  <c r="C10" i="10"/>
  <c r="C11" i="10"/>
  <c r="C6" i="10"/>
  <c r="BI7" i="15"/>
  <c r="BI8" i="15"/>
  <c r="BI9" i="15"/>
  <c r="BI10" i="15"/>
  <c r="BI11" i="15"/>
  <c r="BI12" i="15"/>
  <c r="BI13" i="15"/>
  <c r="BI14" i="15"/>
  <c r="BI15" i="15"/>
  <c r="BI16" i="15"/>
  <c r="BI17" i="15"/>
  <c r="BI18" i="15"/>
  <c r="BI19" i="15"/>
  <c r="BI20" i="15"/>
  <c r="BI21" i="15"/>
  <c r="BI22" i="15"/>
  <c r="BI23" i="15"/>
  <c r="BI24" i="15"/>
  <c r="BI25" i="15"/>
  <c r="BI26" i="15"/>
  <c r="BI27" i="15"/>
  <c r="BI28" i="15"/>
  <c r="BI29" i="15"/>
  <c r="BI30" i="15"/>
  <c r="BI31" i="15"/>
  <c r="BI32" i="15"/>
  <c r="BI33" i="15"/>
  <c r="BI34" i="15"/>
  <c r="BI6" i="15"/>
  <c r="BG7" i="15"/>
  <c r="BG8" i="15"/>
  <c r="BG9" i="15"/>
  <c r="BG10" i="15"/>
  <c r="BG11" i="15"/>
  <c r="BG12" i="15"/>
  <c r="BG13" i="15"/>
  <c r="BG14" i="15"/>
  <c r="BG15" i="15"/>
  <c r="BG16" i="15"/>
  <c r="BG17" i="15"/>
  <c r="BG18" i="15"/>
  <c r="BG19" i="15"/>
  <c r="BG20" i="15"/>
  <c r="BG21" i="15"/>
  <c r="BG22" i="15"/>
  <c r="BG23" i="15"/>
  <c r="BG24" i="15"/>
  <c r="BG25" i="15"/>
  <c r="BG26" i="15"/>
  <c r="BG27" i="15"/>
  <c r="BG28" i="15"/>
  <c r="BG29" i="15"/>
  <c r="BG30" i="15"/>
  <c r="BG31" i="15"/>
  <c r="BG32" i="15"/>
  <c r="BG33" i="15"/>
  <c r="BG34" i="15"/>
  <c r="BG6" i="15"/>
  <c r="BE7" i="15"/>
  <c r="BE8" i="15"/>
  <c r="BE9" i="15"/>
  <c r="BE10" i="15"/>
  <c r="BE11" i="15"/>
  <c r="BE12" i="15"/>
  <c r="BE13" i="15"/>
  <c r="BE14" i="15"/>
  <c r="BE15" i="15"/>
  <c r="BE16" i="15"/>
  <c r="BE17" i="15"/>
  <c r="BE18" i="15"/>
  <c r="BE19" i="15"/>
  <c r="BE20" i="15"/>
  <c r="BE21" i="15"/>
  <c r="BE22" i="15"/>
  <c r="BE23" i="15"/>
  <c r="BE24" i="15"/>
  <c r="BE25" i="15"/>
  <c r="BE26" i="15"/>
  <c r="BE27" i="15"/>
  <c r="BE28" i="15"/>
  <c r="BE29" i="15"/>
  <c r="BE30" i="15"/>
  <c r="BE31" i="15"/>
  <c r="BE32" i="15"/>
  <c r="BE33" i="15"/>
  <c r="BE34" i="15"/>
  <c r="BE6" i="15"/>
  <c r="BC7" i="15"/>
  <c r="BC8" i="15"/>
  <c r="BC9" i="15"/>
  <c r="BC10" i="15"/>
  <c r="BC11" i="15"/>
  <c r="BC12" i="15"/>
  <c r="BC13" i="15"/>
  <c r="BC14" i="15"/>
  <c r="BC15" i="15"/>
  <c r="BC16" i="15"/>
  <c r="BC17" i="15"/>
  <c r="BC18" i="15"/>
  <c r="BC19" i="15"/>
  <c r="BC20" i="15"/>
  <c r="BC21" i="15"/>
  <c r="BC22" i="15"/>
  <c r="BC23" i="15"/>
  <c r="BC24" i="15"/>
  <c r="BC25" i="15"/>
  <c r="BC26" i="15"/>
  <c r="BC27" i="15"/>
  <c r="BC28" i="15"/>
  <c r="BC29" i="15"/>
  <c r="BC30" i="15"/>
  <c r="BC31" i="15"/>
  <c r="BC32" i="15"/>
  <c r="BC33" i="15"/>
  <c r="BC34" i="15"/>
  <c r="BC6" i="15"/>
  <c r="BA7" i="15"/>
  <c r="BA8" i="15"/>
  <c r="BA9" i="15"/>
  <c r="BA10" i="15"/>
  <c r="BA11" i="15"/>
  <c r="BA12" i="15"/>
  <c r="BA13" i="15"/>
  <c r="BA14" i="15"/>
  <c r="BA15" i="15"/>
  <c r="BA16" i="15"/>
  <c r="BA17" i="15"/>
  <c r="BA18" i="15"/>
  <c r="BA19" i="15"/>
  <c r="BA20" i="15"/>
  <c r="BA21" i="15"/>
  <c r="BA22" i="15"/>
  <c r="BA23" i="15"/>
  <c r="BA24" i="15"/>
  <c r="BA25" i="15"/>
  <c r="BA26" i="15"/>
  <c r="BA27" i="15"/>
  <c r="BA28" i="15"/>
  <c r="BA29" i="15"/>
  <c r="BA30" i="15"/>
  <c r="BA31" i="15"/>
  <c r="BA32" i="15"/>
  <c r="BA33" i="15"/>
  <c r="BA34" i="15"/>
  <c r="BA6" i="15"/>
  <c r="AY7" i="15"/>
  <c r="AY8" i="15"/>
  <c r="AY9" i="15"/>
  <c r="AY10" i="15"/>
  <c r="AY11" i="15"/>
  <c r="AY12" i="15"/>
  <c r="AY13" i="15"/>
  <c r="AY14" i="15"/>
  <c r="AY15" i="15"/>
  <c r="AY16" i="15"/>
  <c r="AY17" i="15"/>
  <c r="AY18" i="15"/>
  <c r="AY19" i="15"/>
  <c r="AY20" i="15"/>
  <c r="AY21" i="15"/>
  <c r="AY22" i="15"/>
  <c r="AY23" i="15"/>
  <c r="AY24" i="15"/>
  <c r="AY25" i="15"/>
  <c r="AY26" i="15"/>
  <c r="AY27" i="15"/>
  <c r="AY28" i="15"/>
  <c r="AY29" i="15"/>
  <c r="AY30" i="15"/>
  <c r="AY31" i="15"/>
  <c r="AY32" i="15"/>
  <c r="AY33" i="15"/>
  <c r="AY34" i="15"/>
  <c r="AY6" i="15"/>
  <c r="AW7" i="15"/>
  <c r="AW8" i="15"/>
  <c r="AW9" i="15"/>
  <c r="AW10" i="15"/>
  <c r="AW11" i="15"/>
  <c r="AW12" i="15"/>
  <c r="AW13" i="15"/>
  <c r="AW14" i="15"/>
  <c r="AW15" i="15"/>
  <c r="AW16" i="15"/>
  <c r="AW17" i="15"/>
  <c r="AW18" i="15"/>
  <c r="AW19" i="15"/>
  <c r="AW20" i="15"/>
  <c r="AW21" i="15"/>
  <c r="AW22" i="15"/>
  <c r="AW23" i="15"/>
  <c r="AW24" i="15"/>
  <c r="AW25" i="15"/>
  <c r="AW26" i="15"/>
  <c r="AW27" i="15"/>
  <c r="AW28" i="15"/>
  <c r="AW29" i="15"/>
  <c r="AW30" i="15"/>
  <c r="AW31" i="15"/>
  <c r="AW32" i="15"/>
  <c r="AW33" i="15"/>
  <c r="AW34" i="15"/>
  <c r="AW6" i="15"/>
  <c r="AU7" i="15"/>
  <c r="AU8" i="15"/>
  <c r="AU9" i="15"/>
  <c r="AU10" i="15"/>
  <c r="AU11" i="15"/>
  <c r="AU12" i="15"/>
  <c r="AU13" i="15"/>
  <c r="AU14" i="15"/>
  <c r="AU15" i="15"/>
  <c r="AU16" i="15"/>
  <c r="AU17" i="15"/>
  <c r="AU18" i="15"/>
  <c r="AU19" i="15"/>
  <c r="AU20" i="15"/>
  <c r="AU21" i="15"/>
  <c r="AU22" i="15"/>
  <c r="AU23" i="15"/>
  <c r="AU24" i="15"/>
  <c r="AU25" i="15"/>
  <c r="AU26" i="15"/>
  <c r="AU27" i="15"/>
  <c r="AU28" i="15"/>
  <c r="AU29" i="15"/>
  <c r="AU30" i="15"/>
  <c r="AU31" i="15"/>
  <c r="AU32" i="15"/>
  <c r="AU33" i="15"/>
  <c r="AU34" i="15"/>
  <c r="AU6" i="15"/>
  <c r="AS7" i="15"/>
  <c r="AS8" i="15"/>
  <c r="AS9" i="15"/>
  <c r="AS10" i="15"/>
  <c r="AS11" i="15"/>
  <c r="AS12" i="15"/>
  <c r="AS13" i="15"/>
  <c r="AS14" i="15"/>
  <c r="AS15" i="15"/>
  <c r="AS16" i="15"/>
  <c r="AS17" i="15"/>
  <c r="AS18" i="15"/>
  <c r="AS19" i="15"/>
  <c r="AS20" i="15"/>
  <c r="AS21" i="15"/>
  <c r="AS22" i="15"/>
  <c r="AS23" i="15"/>
  <c r="AS24" i="15"/>
  <c r="AS25" i="15"/>
  <c r="AS26" i="15"/>
  <c r="AS27" i="15"/>
  <c r="AS28" i="15"/>
  <c r="AS29" i="15"/>
  <c r="AS30" i="15"/>
  <c r="AS31" i="15"/>
  <c r="AS32" i="15"/>
  <c r="AS33" i="15"/>
  <c r="AS34" i="15"/>
  <c r="AS6" i="15"/>
  <c r="AQ7" i="15"/>
  <c r="AQ8" i="15"/>
  <c r="AQ9" i="15"/>
  <c r="AQ10" i="15"/>
  <c r="AQ11" i="15"/>
  <c r="AQ12" i="15"/>
  <c r="AQ13" i="15"/>
  <c r="AQ14" i="15"/>
  <c r="AQ15" i="15"/>
  <c r="AQ16" i="15"/>
  <c r="AQ17" i="15"/>
  <c r="AQ18" i="15"/>
  <c r="AQ19" i="15"/>
  <c r="AQ20" i="15"/>
  <c r="AQ21" i="15"/>
  <c r="AQ22" i="15"/>
  <c r="AQ23" i="15"/>
  <c r="AQ24" i="15"/>
  <c r="AQ25" i="15"/>
  <c r="AQ26" i="15"/>
  <c r="AQ27" i="15"/>
  <c r="AQ28" i="15"/>
  <c r="AQ29" i="15"/>
  <c r="AQ30" i="15"/>
  <c r="AQ31" i="15"/>
  <c r="AQ32" i="15"/>
  <c r="AQ33" i="15"/>
  <c r="AQ34" i="15"/>
  <c r="AQ6" i="15"/>
  <c r="AO7" i="15"/>
  <c r="AO8" i="15"/>
  <c r="AO9" i="15"/>
  <c r="AO10" i="15"/>
  <c r="AO11" i="15"/>
  <c r="AO12" i="15"/>
  <c r="AO13" i="15"/>
  <c r="AO14" i="15"/>
  <c r="AO15" i="15"/>
  <c r="AO16" i="15"/>
  <c r="AO17" i="15"/>
  <c r="AO18" i="15"/>
  <c r="AO19" i="15"/>
  <c r="AO20" i="15"/>
  <c r="AO21" i="15"/>
  <c r="AO22" i="15"/>
  <c r="AO23" i="15"/>
  <c r="AO24" i="15"/>
  <c r="AO25" i="15"/>
  <c r="AO26" i="15"/>
  <c r="AO27" i="15"/>
  <c r="AO28" i="15"/>
  <c r="AO29" i="15"/>
  <c r="AO30" i="15"/>
  <c r="AO31" i="15"/>
  <c r="AO32" i="15"/>
  <c r="AO33" i="15"/>
  <c r="AO34" i="15"/>
  <c r="AO6" i="15"/>
  <c r="AM7" i="15"/>
  <c r="AM8" i="15"/>
  <c r="AM9" i="15"/>
  <c r="AM10" i="15"/>
  <c r="AM11" i="15"/>
  <c r="AM12" i="15"/>
  <c r="AM13" i="15"/>
  <c r="AM14" i="15"/>
  <c r="AM15" i="15"/>
  <c r="AM16" i="15"/>
  <c r="AM17" i="15"/>
  <c r="AM18" i="15"/>
  <c r="AM19" i="15"/>
  <c r="AM20" i="15"/>
  <c r="AM21" i="15"/>
  <c r="AM22" i="15"/>
  <c r="AM23" i="15"/>
  <c r="AM24" i="15"/>
  <c r="AM25" i="15"/>
  <c r="AM26" i="15"/>
  <c r="AM27" i="15"/>
  <c r="AM28" i="15"/>
  <c r="AM29" i="15"/>
  <c r="AM30" i="15"/>
  <c r="AM31" i="15"/>
  <c r="AM32" i="15"/>
  <c r="AM33" i="15"/>
  <c r="AM34" i="15"/>
  <c r="AM6" i="15"/>
  <c r="AK7" i="15"/>
  <c r="AK8" i="15"/>
  <c r="AK9" i="15"/>
  <c r="AK10" i="15"/>
  <c r="AK11" i="15"/>
  <c r="AK12" i="15"/>
  <c r="AK13" i="15"/>
  <c r="AK14" i="15"/>
  <c r="AK15" i="15"/>
  <c r="AK16" i="15"/>
  <c r="AK17" i="15"/>
  <c r="AK18" i="15"/>
  <c r="AK19" i="15"/>
  <c r="AK20" i="15"/>
  <c r="AK21" i="15"/>
  <c r="AK22" i="15"/>
  <c r="AK23" i="15"/>
  <c r="AK24" i="15"/>
  <c r="AK25" i="15"/>
  <c r="AK26" i="15"/>
  <c r="AK27" i="15"/>
  <c r="AK28" i="15"/>
  <c r="AK29" i="15"/>
  <c r="AK30" i="15"/>
  <c r="AK31" i="15"/>
  <c r="AK32" i="15"/>
  <c r="AK33" i="15"/>
  <c r="AK34" i="15"/>
  <c r="AK6" i="15"/>
  <c r="AI7" i="15"/>
  <c r="AI8" i="15"/>
  <c r="AI9" i="15"/>
  <c r="AI10" i="15"/>
  <c r="AI11" i="15"/>
  <c r="AI12" i="15"/>
  <c r="AI13" i="15"/>
  <c r="AI14" i="15"/>
  <c r="AI15" i="15"/>
  <c r="AI16" i="15"/>
  <c r="AI17" i="15"/>
  <c r="AI18" i="15"/>
  <c r="AI19" i="15"/>
  <c r="AI20" i="15"/>
  <c r="AI21" i="15"/>
  <c r="AI22" i="15"/>
  <c r="AI23" i="15"/>
  <c r="AI24" i="15"/>
  <c r="AI25" i="15"/>
  <c r="AI26" i="15"/>
  <c r="AI27" i="15"/>
  <c r="AI28" i="15"/>
  <c r="AI29" i="15"/>
  <c r="AI30" i="15"/>
  <c r="AI31" i="15"/>
  <c r="AI32" i="15"/>
  <c r="AI33" i="15"/>
  <c r="AI34" i="15"/>
  <c r="AI6" i="15"/>
  <c r="AG7" i="15"/>
  <c r="AG8" i="15"/>
  <c r="AG9" i="15"/>
  <c r="AG10" i="15"/>
  <c r="AG11" i="15"/>
  <c r="AG12" i="15"/>
  <c r="AG13" i="15"/>
  <c r="AG14" i="15"/>
  <c r="AG15" i="15"/>
  <c r="AG16" i="15"/>
  <c r="AG17" i="15"/>
  <c r="AG18" i="15"/>
  <c r="AG19" i="15"/>
  <c r="AG20" i="15"/>
  <c r="AG21" i="15"/>
  <c r="AG22" i="15"/>
  <c r="AG23" i="15"/>
  <c r="AG24" i="15"/>
  <c r="AG25" i="15"/>
  <c r="AG26" i="15"/>
  <c r="AG27" i="15"/>
  <c r="AG28" i="15"/>
  <c r="AG29" i="15"/>
  <c r="AG30" i="15"/>
  <c r="AG31" i="15"/>
  <c r="AG32" i="15"/>
  <c r="AG33" i="15"/>
  <c r="AG34" i="15"/>
  <c r="AG6" i="15"/>
  <c r="AE7" i="15"/>
  <c r="AE8" i="15"/>
  <c r="AE9" i="15"/>
  <c r="AE10" i="15"/>
  <c r="AE11" i="15"/>
  <c r="AE12" i="15"/>
  <c r="AE13" i="15"/>
  <c r="AE14" i="15"/>
  <c r="AE15" i="15"/>
  <c r="AE16" i="15"/>
  <c r="AE17" i="15"/>
  <c r="AE18" i="15"/>
  <c r="AE19" i="15"/>
  <c r="AE20" i="15"/>
  <c r="AE21" i="15"/>
  <c r="AE22" i="15"/>
  <c r="AE23" i="15"/>
  <c r="AE24" i="15"/>
  <c r="AE25" i="15"/>
  <c r="AE26" i="15"/>
  <c r="AE27" i="15"/>
  <c r="AE28" i="15"/>
  <c r="AE29" i="15"/>
  <c r="AE30" i="15"/>
  <c r="AE31" i="15"/>
  <c r="AE32" i="15"/>
  <c r="AE33" i="15"/>
  <c r="AE34" i="15"/>
  <c r="AE6" i="15"/>
  <c r="AC7" i="15"/>
  <c r="AC8" i="15"/>
  <c r="AC9" i="15"/>
  <c r="AC10" i="15"/>
  <c r="AC11" i="15"/>
  <c r="AC12" i="15"/>
  <c r="AC13" i="15"/>
  <c r="AC14" i="15"/>
  <c r="AC15" i="15"/>
  <c r="AC16" i="15"/>
  <c r="AC17" i="15"/>
  <c r="AC18" i="15"/>
  <c r="AC19" i="15"/>
  <c r="AC20" i="15"/>
  <c r="AC21" i="15"/>
  <c r="AC22" i="15"/>
  <c r="AC23" i="15"/>
  <c r="AC24" i="15"/>
  <c r="AC25" i="15"/>
  <c r="AC26" i="15"/>
  <c r="AC27" i="15"/>
  <c r="AC28" i="15"/>
  <c r="AC29" i="15"/>
  <c r="AC30" i="15"/>
  <c r="AC31" i="15"/>
  <c r="AC32" i="15"/>
  <c r="AC33" i="15"/>
  <c r="AC34" i="15"/>
  <c r="AC6" i="15"/>
  <c r="AA7" i="15"/>
  <c r="AA8" i="15"/>
  <c r="AA9" i="15"/>
  <c r="AA10" i="15"/>
  <c r="AA11" i="15"/>
  <c r="AA12" i="15"/>
  <c r="AA13" i="15"/>
  <c r="AA14" i="15"/>
  <c r="AA15" i="15"/>
  <c r="AA16" i="15"/>
  <c r="AA17" i="15"/>
  <c r="AA18" i="15"/>
  <c r="AA19" i="15"/>
  <c r="AA20" i="15"/>
  <c r="AA21" i="15"/>
  <c r="AA22" i="15"/>
  <c r="AA23" i="15"/>
  <c r="AA24" i="15"/>
  <c r="AA25" i="15"/>
  <c r="AA26" i="15"/>
  <c r="AA27" i="15"/>
  <c r="AA28" i="15"/>
  <c r="AA29" i="15"/>
  <c r="AA30" i="15"/>
  <c r="AA31" i="15"/>
  <c r="AA32" i="15"/>
  <c r="AA33" i="15"/>
  <c r="AA34" i="15"/>
  <c r="AA6" i="15"/>
  <c r="Y7" i="15"/>
  <c r="Y8" i="15"/>
  <c r="Y9" i="15"/>
  <c r="Y10" i="15"/>
  <c r="Y11" i="15"/>
  <c r="Y12" i="15"/>
  <c r="Y13" i="15"/>
  <c r="Y14" i="15"/>
  <c r="Y15" i="15"/>
  <c r="Y16" i="15"/>
  <c r="Y17" i="15"/>
  <c r="Y18" i="15"/>
  <c r="Y19" i="15"/>
  <c r="Y20" i="15"/>
  <c r="Y21" i="15"/>
  <c r="Y22" i="15"/>
  <c r="Y23" i="15"/>
  <c r="Y24" i="15"/>
  <c r="Y25" i="15"/>
  <c r="Y26" i="15"/>
  <c r="Y27" i="15"/>
  <c r="Y28" i="15"/>
  <c r="Y29" i="15"/>
  <c r="Y30" i="15"/>
  <c r="Y31" i="15"/>
  <c r="Y32" i="15"/>
  <c r="Y33" i="15"/>
  <c r="Y34" i="15"/>
  <c r="Y6" i="15"/>
  <c r="W7" i="15"/>
  <c r="W8" i="15"/>
  <c r="W9" i="15"/>
  <c r="W10" i="15"/>
  <c r="W11" i="15"/>
  <c r="W12" i="15"/>
  <c r="W13" i="15"/>
  <c r="W14" i="15"/>
  <c r="W15" i="15"/>
  <c r="W16" i="15"/>
  <c r="W17" i="15"/>
  <c r="W18" i="15"/>
  <c r="W19" i="15"/>
  <c r="W20" i="15"/>
  <c r="W21" i="15"/>
  <c r="W22" i="15"/>
  <c r="W23" i="15"/>
  <c r="W24" i="15"/>
  <c r="W25" i="15"/>
  <c r="W26" i="15"/>
  <c r="W27" i="15"/>
  <c r="W28" i="15"/>
  <c r="W29" i="15"/>
  <c r="W30" i="15"/>
  <c r="W31" i="15"/>
  <c r="W32" i="15"/>
  <c r="W33" i="15"/>
  <c r="W34" i="15"/>
  <c r="W6" i="15"/>
  <c r="U7" i="15"/>
  <c r="U8" i="15"/>
  <c r="U9" i="15"/>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6" i="15"/>
  <c r="S7" i="15"/>
  <c r="S8" i="15"/>
  <c r="S9" i="15"/>
  <c r="S10" i="15"/>
  <c r="S11" i="15"/>
  <c r="S12" i="15"/>
  <c r="S13" i="15"/>
  <c r="S14" i="15"/>
  <c r="S15" i="15"/>
  <c r="S16" i="15"/>
  <c r="S17" i="15"/>
  <c r="S18" i="15"/>
  <c r="S19" i="15"/>
  <c r="S20" i="15"/>
  <c r="S21" i="15"/>
  <c r="S22" i="15"/>
  <c r="S23" i="15"/>
  <c r="S24" i="15"/>
  <c r="S25" i="15"/>
  <c r="S26" i="15"/>
  <c r="S27" i="15"/>
  <c r="S28" i="15"/>
  <c r="S29" i="15"/>
  <c r="S30" i="15"/>
  <c r="S31" i="15"/>
  <c r="S32" i="15"/>
  <c r="S33" i="15"/>
  <c r="S34" i="15"/>
  <c r="S6" i="15"/>
  <c r="Q7" i="15"/>
  <c r="Q8" i="15"/>
  <c r="Q9" i="15"/>
  <c r="Q10" i="15"/>
  <c r="Q11" i="15"/>
  <c r="Q12" i="15"/>
  <c r="Q13" i="15"/>
  <c r="Q14" i="15"/>
  <c r="Q15" i="15"/>
  <c r="Q16" i="15"/>
  <c r="Q17" i="15"/>
  <c r="Q18" i="15"/>
  <c r="Q19" i="15"/>
  <c r="Q20" i="15"/>
  <c r="Q21" i="15"/>
  <c r="Q22" i="15"/>
  <c r="Q23" i="15"/>
  <c r="Q24" i="15"/>
  <c r="Q25" i="15"/>
  <c r="Q26" i="15"/>
  <c r="Q27" i="15"/>
  <c r="Q28" i="15"/>
  <c r="Q29" i="15"/>
  <c r="Q30" i="15"/>
  <c r="Q31" i="15"/>
  <c r="Q32" i="15"/>
  <c r="Q33" i="15"/>
  <c r="Q34" i="15"/>
  <c r="Q6"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7" i="15"/>
  <c r="O6" i="15"/>
  <c r="M6" i="15"/>
  <c r="M8" i="15"/>
  <c r="M9" i="15"/>
  <c r="M10" i="15"/>
  <c r="M11" i="15"/>
  <c r="M12" i="15"/>
  <c r="M13" i="15"/>
  <c r="M14" i="15"/>
  <c r="M15" i="15"/>
  <c r="M16" i="15"/>
  <c r="M17" i="15"/>
  <c r="M18" i="15"/>
  <c r="M19" i="15"/>
  <c r="M20" i="15"/>
  <c r="M21" i="15"/>
  <c r="M22" i="15"/>
  <c r="M23" i="15"/>
  <c r="M24" i="15"/>
  <c r="M25" i="15"/>
  <c r="M26" i="15"/>
  <c r="M27" i="15"/>
  <c r="M28" i="15"/>
  <c r="M29" i="15"/>
  <c r="M30" i="15"/>
  <c r="M31" i="15"/>
  <c r="M32" i="15"/>
  <c r="M33" i="15"/>
  <c r="M34" i="15"/>
  <c r="M7" i="15"/>
  <c r="K7" i="15"/>
  <c r="K8" i="15"/>
  <c r="K9" i="15"/>
  <c r="K10" i="15"/>
  <c r="K11" i="15"/>
  <c r="K12" i="15"/>
  <c r="K13" i="15"/>
  <c r="K14" i="15"/>
  <c r="K15" i="15"/>
  <c r="K16" i="15"/>
  <c r="K17" i="15"/>
  <c r="K18" i="15"/>
  <c r="K19" i="15"/>
  <c r="K20" i="15"/>
  <c r="K21" i="15"/>
  <c r="K22" i="15"/>
  <c r="K23" i="15"/>
  <c r="K24" i="15"/>
  <c r="K25" i="15"/>
  <c r="K26" i="15"/>
  <c r="K27" i="15"/>
  <c r="K28" i="15"/>
  <c r="K29" i="15"/>
  <c r="K30" i="15"/>
  <c r="K31" i="15"/>
  <c r="K32" i="15"/>
  <c r="K33" i="15"/>
  <c r="K34" i="15"/>
  <c r="K6"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7" i="15"/>
  <c r="I6" i="15"/>
  <c r="T20" i="12" a="1"/>
  <c r="U20" i="12" s="1"/>
  <c r="T21" i="12" a="1"/>
  <c r="U21" i="12" s="1"/>
  <c r="T22" i="12" a="1"/>
  <c r="U22" i="12" s="1"/>
  <c r="T23" i="12" a="1"/>
  <c r="U23" i="12" s="1"/>
  <c r="T24" i="12" a="1"/>
  <c r="U24" i="12" s="1"/>
  <c r="T25" i="12" a="1"/>
  <c r="U25" i="12" s="1"/>
  <c r="T26" i="12" a="1"/>
  <c r="U26" i="12" s="1"/>
  <c r="T27" i="12" a="1"/>
  <c r="U27" i="12" s="1"/>
  <c r="T28" i="12" a="1"/>
  <c r="U28" i="12" s="1"/>
  <c r="T29" i="12" a="1"/>
  <c r="U29" i="12" s="1"/>
  <c r="T30" i="12" a="1"/>
  <c r="U30" i="12" s="1"/>
  <c r="T31" i="12" a="1"/>
  <c r="U31" i="12" s="1"/>
  <c r="T32" i="12" a="1"/>
  <c r="U32" i="12" s="1"/>
  <c r="T33" i="12" a="1"/>
  <c r="U33" i="12" s="1"/>
  <c r="T34" i="12" a="1"/>
  <c r="U34" i="12" s="1"/>
  <c r="T35" i="12" a="1"/>
  <c r="U35" i="12" s="1"/>
  <c r="T36" i="12" a="1"/>
  <c r="U36" i="12" s="1"/>
  <c r="T37" i="12" a="1"/>
  <c r="U37" i="12" s="1"/>
  <c r="T38" i="12" a="1"/>
  <c r="U38" i="12" s="1"/>
  <c r="T39" i="12" a="1"/>
  <c r="U39" i="12" s="1"/>
  <c r="T40" i="12" a="1"/>
  <c r="U40" i="12" s="1"/>
  <c r="T41" i="12" a="1"/>
  <c r="U41" i="12" s="1"/>
  <c r="T42" i="12" a="1"/>
  <c r="U42" i="12" s="1"/>
  <c r="T43" i="12" a="1"/>
  <c r="U43" i="12" s="1"/>
  <c r="T19" i="12" a="1"/>
  <c r="U19" i="12" s="1"/>
  <c r="Q19" i="12" a="1"/>
  <c r="R19" i="12" s="1"/>
  <c r="Q20" i="12" a="1"/>
  <c r="R20" i="12" s="1"/>
  <c r="Q21" i="12" a="1"/>
  <c r="R21" i="12" s="1"/>
  <c r="Q22" i="12" a="1"/>
  <c r="R22" i="12" s="1"/>
  <c r="Q23" i="12" a="1"/>
  <c r="R23" i="12" s="1"/>
  <c r="Q24" i="12" a="1"/>
  <c r="R24" i="12" s="1"/>
  <c r="Q25" i="12" a="1"/>
  <c r="R25" i="12" s="1"/>
  <c r="Q26" i="12" a="1"/>
  <c r="R26" i="12" s="1"/>
  <c r="Q27" i="12" a="1"/>
  <c r="R27" i="12" s="1"/>
  <c r="Q28" i="12" a="1"/>
  <c r="R28" i="12" s="1"/>
  <c r="Q29" i="12" a="1"/>
  <c r="R29" i="12" s="1"/>
  <c r="Q30" i="12" a="1"/>
  <c r="R30" i="12" s="1"/>
  <c r="Q31" i="12" a="1"/>
  <c r="R31" i="12" s="1"/>
  <c r="Q32" i="12" a="1"/>
  <c r="R32" i="12" s="1"/>
  <c r="Q33" i="12" a="1"/>
  <c r="R33" i="12" s="1"/>
  <c r="Q34" i="12" a="1"/>
  <c r="R34" i="12" s="1"/>
  <c r="Q35" i="12" a="1"/>
  <c r="R35" i="12" s="1"/>
  <c r="Q36" i="12" a="1"/>
  <c r="R36" i="12" s="1"/>
  <c r="Q37" i="12" a="1"/>
  <c r="R37" i="12" s="1"/>
  <c r="Q38" i="12" a="1"/>
  <c r="R38" i="12" s="1"/>
  <c r="Q39" i="12" a="1"/>
  <c r="R39" i="12" s="1"/>
  <c r="Q40" i="12" a="1"/>
  <c r="R40" i="12" s="1"/>
  <c r="Q41" i="12" a="1"/>
  <c r="R41" i="12" s="1"/>
  <c r="Q42" i="12" a="1"/>
  <c r="R42" i="12" s="1"/>
  <c r="Q43" i="12" a="1"/>
  <c r="R43" i="12" s="1"/>
  <c r="N19" i="12" a="1"/>
  <c r="O19" i="12" s="1"/>
  <c r="N20" i="12" a="1"/>
  <c r="O20" i="12" s="1"/>
  <c r="N21" i="12" a="1"/>
  <c r="O21" i="12" s="1"/>
  <c r="N22" i="12" a="1"/>
  <c r="O22" i="12" s="1"/>
  <c r="N23" i="12" a="1"/>
  <c r="O23" i="12" s="1"/>
  <c r="N24" i="12" a="1"/>
  <c r="O24" i="12" s="1"/>
  <c r="N25" i="12" a="1"/>
  <c r="O25" i="12" s="1"/>
  <c r="N26" i="12" a="1"/>
  <c r="O26" i="12" s="1"/>
  <c r="N27" i="12" a="1"/>
  <c r="O27" i="12" s="1"/>
  <c r="N28" i="12" a="1"/>
  <c r="O28" i="12" s="1"/>
  <c r="N29" i="12" a="1"/>
  <c r="O29" i="12" s="1"/>
  <c r="N30" i="12" a="1"/>
  <c r="O30" i="12" s="1"/>
  <c r="N31" i="12" a="1"/>
  <c r="O31" i="12" s="1"/>
  <c r="N32" i="12" a="1"/>
  <c r="O32" i="12" s="1"/>
  <c r="N33" i="12" a="1"/>
  <c r="O33" i="12" s="1"/>
  <c r="N34" i="12" a="1"/>
  <c r="O34" i="12" s="1"/>
  <c r="N35" i="12" a="1"/>
  <c r="O35" i="12" s="1"/>
  <c r="N36" i="12" a="1"/>
  <c r="O36" i="12" s="1"/>
  <c r="N37" i="12" a="1"/>
  <c r="O37" i="12" s="1"/>
  <c r="N38" i="12" a="1"/>
  <c r="O38" i="12" s="1"/>
  <c r="N39" i="12" a="1"/>
  <c r="O39" i="12" s="1"/>
  <c r="N40" i="12" a="1"/>
  <c r="O40" i="12" s="1"/>
  <c r="N41" i="12" a="1"/>
  <c r="O41" i="12" s="1"/>
  <c r="N42" i="12" a="1"/>
  <c r="O42" i="12" s="1"/>
  <c r="N43" i="12" a="1"/>
  <c r="O43" i="12" s="1"/>
  <c r="K20" i="12" a="1"/>
  <c r="L20" i="12" s="1"/>
  <c r="K21" i="12" a="1"/>
  <c r="L21" i="12" s="1"/>
  <c r="K22" i="12" a="1"/>
  <c r="L22" i="12" s="1"/>
  <c r="K23" i="12" a="1"/>
  <c r="L23" i="12" s="1"/>
  <c r="K24" i="12" a="1"/>
  <c r="L24" i="12" s="1"/>
  <c r="K25" i="12" a="1"/>
  <c r="L25" i="12" s="1"/>
  <c r="K26" i="12" a="1"/>
  <c r="L26" i="12" s="1"/>
  <c r="K27" i="12" a="1"/>
  <c r="L27" i="12" s="1"/>
  <c r="K28" i="12" a="1"/>
  <c r="L28" i="12" s="1"/>
  <c r="K29" i="12" a="1"/>
  <c r="L29" i="12" s="1"/>
  <c r="K30" i="12" a="1"/>
  <c r="L30" i="12" s="1"/>
  <c r="K31" i="12" a="1"/>
  <c r="L31" i="12" s="1"/>
  <c r="K32" i="12" a="1"/>
  <c r="L32" i="12" s="1"/>
  <c r="K33" i="12" a="1"/>
  <c r="L33" i="12" s="1"/>
  <c r="K34" i="12" a="1"/>
  <c r="L34" i="12" s="1"/>
  <c r="K35" i="12" a="1"/>
  <c r="L35" i="12" s="1"/>
  <c r="K36" i="12" a="1"/>
  <c r="L36" i="12" s="1"/>
  <c r="K37" i="12" a="1"/>
  <c r="L37" i="12" s="1"/>
  <c r="K38" i="12" a="1"/>
  <c r="L38" i="12" s="1"/>
  <c r="K39" i="12" a="1"/>
  <c r="L39" i="12" s="1"/>
  <c r="K40" i="12" a="1"/>
  <c r="L40" i="12" s="1"/>
  <c r="K41" i="12" a="1"/>
  <c r="L41" i="12" s="1"/>
  <c r="K42" i="12" a="1"/>
  <c r="L42" i="12" s="1"/>
  <c r="K43" i="12" a="1"/>
  <c r="L43" i="12" s="1"/>
  <c r="K19" i="12" a="1"/>
  <c r="L19" i="12" s="1"/>
  <c r="H19" i="12" a="1"/>
  <c r="I19" i="12" s="1"/>
  <c r="H20" i="12" a="1"/>
  <c r="I20" i="12" s="1"/>
  <c r="H21" i="12" a="1"/>
  <c r="I21" i="12" s="1"/>
  <c r="H22" i="12" a="1"/>
  <c r="I22" i="12" s="1"/>
  <c r="H23" i="12" a="1"/>
  <c r="I23" i="12" s="1"/>
  <c r="H24" i="12" a="1"/>
  <c r="I24" i="12" s="1"/>
  <c r="H25" i="12" a="1"/>
  <c r="I25" i="12" s="1"/>
  <c r="H26" i="12" a="1"/>
  <c r="I26" i="12" s="1"/>
  <c r="H27" i="12" a="1"/>
  <c r="I27" i="12" s="1"/>
  <c r="H28" i="12" a="1"/>
  <c r="I28" i="12" s="1"/>
  <c r="H29" i="12" a="1"/>
  <c r="I29" i="12" s="1"/>
  <c r="H30" i="12" a="1"/>
  <c r="I30" i="12" s="1"/>
  <c r="H31" i="12" a="1"/>
  <c r="I31" i="12" s="1"/>
  <c r="H32" i="12" a="1"/>
  <c r="I32" i="12" s="1"/>
  <c r="H33" i="12" a="1"/>
  <c r="I33" i="12" s="1"/>
  <c r="H34" i="12" a="1"/>
  <c r="I34" i="12" s="1"/>
  <c r="H35" i="12" a="1"/>
  <c r="I35" i="12" s="1"/>
  <c r="H36" i="12" a="1"/>
  <c r="I36" i="12" s="1"/>
  <c r="H37" i="12" a="1"/>
  <c r="I37" i="12" s="1"/>
  <c r="H38" i="12" a="1"/>
  <c r="I38" i="12" s="1"/>
  <c r="H39" i="12" a="1"/>
  <c r="I39" i="12" s="1"/>
  <c r="H40" i="12" a="1"/>
  <c r="I40" i="12" s="1"/>
  <c r="H41" i="12" a="1"/>
  <c r="I41" i="12" s="1"/>
  <c r="H42" i="12" a="1"/>
  <c r="I42" i="12" s="1"/>
  <c r="H43" i="12" a="1"/>
  <c r="I43" i="12" s="1"/>
  <c r="L24" i="11"/>
  <c r="M24" i="11" s="1"/>
  <c r="L25" i="11"/>
  <c r="M25" i="11" s="1"/>
  <c r="L26" i="11"/>
  <c r="M26" i="11" s="1"/>
  <c r="L27" i="11"/>
  <c r="M27" i="11" s="1"/>
  <c r="L28" i="11"/>
  <c r="M28" i="11" s="1"/>
  <c r="L29" i="11"/>
  <c r="M29" i="11" s="1"/>
  <c r="L30" i="11"/>
  <c r="M30" i="11" s="1"/>
  <c r="L31" i="11"/>
  <c r="M31" i="11" s="1"/>
  <c r="L32" i="11"/>
  <c r="M32" i="11" s="1"/>
  <c r="L33" i="11"/>
  <c r="M33" i="11" s="1"/>
  <c r="L34" i="11"/>
  <c r="M34" i="11" s="1"/>
  <c r="L23" i="11"/>
  <c r="M23" i="11" s="1"/>
  <c r="B24" i="11"/>
  <c r="B25" i="11"/>
  <c r="B26" i="11"/>
  <c r="B27" i="11"/>
  <c r="B28" i="11"/>
  <c r="B29" i="11"/>
  <c r="B30" i="11"/>
  <c r="B31" i="11"/>
  <c r="B32" i="11"/>
  <c r="B33" i="11"/>
  <c r="B34" i="11"/>
  <c r="B23" i="11"/>
  <c r="H8" i="8"/>
  <c r="I8" i="8"/>
  <c r="J8" i="8"/>
  <c r="K8" i="8"/>
  <c r="L8" i="8"/>
  <c r="M8" i="8"/>
  <c r="N8" i="8"/>
  <c r="O8" i="8"/>
  <c r="P8" i="8"/>
  <c r="Q8" i="8"/>
  <c r="R8" i="8"/>
  <c r="S8" i="8"/>
  <c r="T8" i="8"/>
  <c r="U8" i="8"/>
  <c r="V8" i="8"/>
  <c r="W8" i="8"/>
  <c r="X8" i="8"/>
  <c r="Y8" i="8"/>
  <c r="Z8" i="8"/>
  <c r="AA8" i="8"/>
  <c r="AB8" i="8"/>
  <c r="AC8" i="8"/>
  <c r="AD8" i="8"/>
  <c r="AE8" i="8"/>
  <c r="AF8" i="8"/>
  <c r="G8" i="8"/>
  <c r="F8" i="8"/>
  <c r="AF8" i="6"/>
  <c r="AF7" i="6"/>
  <c r="AE8" i="6"/>
  <c r="AE7" i="6"/>
  <c r="AD8" i="6"/>
  <c r="AD7" i="6"/>
  <c r="AC8" i="6"/>
  <c r="AC7" i="6"/>
  <c r="AB8" i="6"/>
  <c r="AB7" i="6"/>
  <c r="AA8" i="6"/>
  <c r="AA7" i="6"/>
  <c r="Z8" i="6"/>
  <c r="Y8" i="6"/>
  <c r="Y7" i="6"/>
  <c r="X8" i="6"/>
  <c r="W8" i="6"/>
  <c r="V8" i="6"/>
  <c r="V7" i="6"/>
  <c r="U8" i="6"/>
  <c r="U7" i="6"/>
  <c r="T8" i="6"/>
  <c r="T7" i="6"/>
  <c r="S8" i="6"/>
  <c r="S7" i="6"/>
  <c r="R8" i="6"/>
  <c r="Q8" i="6"/>
  <c r="Q7" i="6"/>
  <c r="P8" i="6"/>
  <c r="O8" i="6"/>
  <c r="N8" i="6"/>
  <c r="M8" i="6"/>
  <c r="L8" i="6"/>
  <c r="K8" i="6"/>
  <c r="J8" i="6"/>
  <c r="I8" i="6"/>
  <c r="H8" i="6"/>
  <c r="G8" i="6"/>
  <c r="G7" i="6"/>
  <c r="F8" i="6"/>
  <c r="E22" i="4"/>
  <c r="E23" i="4"/>
  <c r="E24" i="4"/>
  <c r="E25" i="4"/>
  <c r="E26" i="4"/>
  <c r="E27" i="4"/>
  <c r="E28" i="4"/>
  <c r="E21" i="4"/>
  <c r="E14" i="4"/>
  <c r="E15" i="4"/>
  <c r="E16" i="4"/>
  <c r="E17" i="4"/>
  <c r="E18" i="4"/>
  <c r="E19" i="4"/>
  <c r="E20" i="4"/>
  <c r="E13" i="4"/>
  <c r="E6" i="4"/>
  <c r="E7" i="4"/>
  <c r="E8" i="4"/>
  <c r="E9" i="4"/>
  <c r="E10" i="4"/>
  <c r="E11" i="4"/>
  <c r="E12" i="4"/>
  <c r="E5" i="4"/>
  <c r="T43" i="12"/>
  <c r="Q43" i="12"/>
  <c r="N43" i="12"/>
  <c r="K43" i="12"/>
  <c r="H43" i="12"/>
  <c r="T42" i="12"/>
  <c r="Q42" i="12"/>
  <c r="N42" i="12"/>
  <c r="K42" i="12"/>
  <c r="H42" i="12"/>
  <c r="T41" i="12"/>
  <c r="Q41" i="12"/>
  <c r="N41" i="12"/>
  <c r="K41" i="12"/>
  <c r="H41" i="12"/>
  <c r="T40" i="12"/>
  <c r="Q40" i="12"/>
  <c r="N40" i="12"/>
  <c r="K40" i="12"/>
  <c r="H40" i="12"/>
  <c r="T39" i="12"/>
  <c r="Q39" i="12"/>
  <c r="N39" i="12"/>
  <c r="K39" i="12"/>
  <c r="H39" i="12"/>
  <c r="T38" i="12"/>
  <c r="Q38" i="12"/>
  <c r="N38" i="12"/>
  <c r="K38" i="12"/>
  <c r="H38" i="12"/>
  <c r="T37" i="12"/>
  <c r="Q37" i="12"/>
  <c r="N37" i="12"/>
  <c r="K37" i="12"/>
  <c r="H37" i="12"/>
  <c r="T36" i="12"/>
  <c r="Q36" i="12"/>
  <c r="N36" i="12"/>
  <c r="K36" i="12"/>
  <c r="H36" i="12"/>
  <c r="T35" i="12"/>
  <c r="Q35" i="12"/>
  <c r="N35" i="12"/>
  <c r="K35" i="12"/>
  <c r="H35" i="12"/>
  <c r="T34" i="12"/>
  <c r="Q34" i="12"/>
  <c r="N34" i="12"/>
  <c r="K34" i="12"/>
  <c r="H34" i="12"/>
  <c r="T33" i="12"/>
  <c r="Q33" i="12"/>
  <c r="N33" i="12"/>
  <c r="K33" i="12"/>
  <c r="H33" i="12"/>
  <c r="T32" i="12"/>
  <c r="Q32" i="12"/>
  <c r="N32" i="12"/>
  <c r="K32" i="12"/>
  <c r="H32" i="12"/>
  <c r="T31" i="12"/>
  <c r="Q31" i="12"/>
  <c r="N31" i="12"/>
  <c r="K31" i="12"/>
  <c r="H31" i="12"/>
  <c r="T30" i="12"/>
  <c r="Q30" i="12"/>
  <c r="N30" i="12"/>
  <c r="K30" i="12"/>
  <c r="H30" i="12"/>
  <c r="T29" i="12"/>
  <c r="Q29" i="12"/>
  <c r="N29" i="12"/>
  <c r="K29" i="12"/>
  <c r="H29" i="12"/>
  <c r="T28" i="12"/>
  <c r="Q28" i="12"/>
  <c r="N28" i="12"/>
  <c r="K28" i="12"/>
  <c r="H28" i="12"/>
  <c r="T27" i="12"/>
  <c r="Q27" i="12"/>
  <c r="N27" i="12"/>
  <c r="K27" i="12"/>
  <c r="H27" i="12"/>
  <c r="T26" i="12"/>
  <c r="Q26" i="12"/>
  <c r="N26" i="12"/>
  <c r="K26" i="12"/>
  <c r="H26" i="12"/>
  <c r="T25" i="12"/>
  <c r="Q25" i="12"/>
  <c r="N25" i="12"/>
  <c r="K25" i="12"/>
  <c r="H25" i="12"/>
  <c r="T24" i="12"/>
  <c r="Q24" i="12"/>
  <c r="N24" i="12"/>
  <c r="K24" i="12"/>
  <c r="H24" i="12"/>
  <c r="T23" i="12"/>
  <c r="Q23" i="12"/>
  <c r="N23" i="12"/>
  <c r="K23" i="12"/>
  <c r="H23" i="12"/>
  <c r="T22" i="12"/>
  <c r="Q22" i="12"/>
  <c r="N22" i="12"/>
  <c r="K22" i="12"/>
  <c r="H22" i="12"/>
  <c r="T21" i="12"/>
  <c r="Q21" i="12"/>
  <c r="N21" i="12"/>
  <c r="K21" i="12"/>
  <c r="H21" i="12"/>
  <c r="T20" i="12"/>
  <c r="Q20" i="12"/>
  <c r="N20" i="12"/>
  <c r="K20" i="12"/>
  <c r="H20" i="12"/>
  <c r="T19" i="12"/>
  <c r="Q19" i="12"/>
  <c r="N19" i="12"/>
  <c r="K19" i="12"/>
  <c r="H19"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C62413-34AF-4E69-B65C-FD1F6AFC6362}"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902CB2AF-172F-4C44-8022-8E22E661A711}" keepAlive="1" name="Query - All_India_Index_Upto_April23 (cleaned)" description="Connection to the 'All_India_Index_Upto_April23 (cleaned)' query in the workbook." type="5" refreshedVersion="8" background="1" saveData="1">
    <dbPr connection="Provider=Microsoft.Mashup.OleDb.1;Data Source=$Workbook$;Location=&quot;All_India_Index_Upto_April23 (cleaned)&quot;;Extended Properties=&quot;&quot;" command="SELECT * FROM [All_India_Index_Upto_April23 (cleaned)]"/>
  </connection>
  <connection id="3" xr16:uid="{E0879263-6957-4D6C-A61D-B89DF13ED26B}" keepAlive="1" name="Query - analysis 1" description="Connection to the 'analysis 1' query in the workbook." type="5" refreshedVersion="8" background="1" saveData="1">
    <dbPr connection="Provider=Microsoft.Mashup.OleDb.1;Data Source=$Workbook$;Location=&quot;analysis 1&quot;;Extended Properties=&quot;&quot;" command="SELECT * FROM [analysis 1]"/>
  </connection>
  <connection id="4" xr16:uid="{6AA9913F-429B-4F5E-83BD-C56ED87D6867}" keepAlive="1" name="Query - Analysis 2" description="Connection to the 'Analysis 2' query in the workbook." type="5" refreshedVersion="8" background="1" saveData="1">
    <dbPr connection="Provider=Microsoft.Mashup.OleDb.1;Data Source=$Workbook$;Location=&quot;Analysis 2&quot;;Extended Properties=&quot;&quot;" command="SELECT * FROM [Analysis 2]"/>
  </connection>
  <connection id="5" xr16:uid="{D6F392D9-D777-4839-8DD0-C8EBD099E254}" keepAlive="1" name="Query - Analysis 3" description="Connection to the 'Analysis 3' query in the workbook." type="5" refreshedVersion="8" background="1" saveData="1">
    <dbPr connection="Provider=Microsoft.Mashup.OleDb.1;Data Source=$Workbook$;Location=&quot;Analysis 3&quot;;Extended Properties=&quot;&quot;" command="SELECT * FROM [Analysis 3]"/>
  </connection>
  <connection id="6" xr16:uid="{654097EB-7FDE-4288-8B01-69303CE6E0B8}" keepAlive="1" name="Query - Analysis 4" description="Connection to the 'Analysis 4' query in the workbook." type="5" refreshedVersion="8" background="1" saveData="1">
    <dbPr connection="Provider=Microsoft.Mashup.OleDb.1;Data Source=$Workbook$;Location=&quot;Analysis 4&quot;;Extended Properties=&quot;&quot;" command="SELECT * FROM [Analysis 4]"/>
  </connection>
  <connection id="7" xr16:uid="{7ECD3567-E5A1-4361-B16B-DE0FFDA0699F}" keepAlive="1" name="Query - Analysis 5" description="Connection to the 'Analysis 5' query in the workbook." type="5" refreshedVersion="8" background="1" saveData="1">
    <dbPr connection="Provider=Microsoft.Mashup.OleDb.1;Data Source=$Workbook$;Location=&quot;Analysis 5&quot;;Extended Properties=&quot;&quot;" command="SELECT * FROM [Analysis 5]"/>
  </connection>
  <connection id="8" xr16:uid="{2154A4DD-1DED-46C6-BE40-5B4B1A97209B}" keepAlive="1" name="Query - April19" description="Connection to the 'April19' query in the workbook." type="5" refreshedVersion="0" background="1">
    <dbPr connection="Provider=Microsoft.Mashup.OleDb.1;Data Source=$Workbook$;Location=April19;Extended Properties=&quot;&quot;" command="SELECT * FROM [April19]"/>
  </connection>
  <connection id="9" xr16:uid="{B4A4A106-BB92-45DA-B04B-391361DC233C}" keepAlive="1" name="Query - Imported Oil price index" description="Connection to the 'Imported Oil price index' query in the workbook." type="5" refreshedVersion="8" background="1" saveData="1">
    <dbPr connection="Provider=Microsoft.Mashup.OleDb.1;Data Source=$Workbook$;Location=&quot;Imported Oil price index&quot;;Extended Properties=&quot;&quot;" command="SELECT * FROM [Imported Oil price index]"/>
  </connection>
  <connection id="10" xr16:uid="{FB561899-7F60-4B8D-BCC1-584D3145B464}" keepAlive="1" name="Query - Rural+Urban Combined" description="Connection to the 'Rural+Urban Combined' query in the workbook." type="5" refreshedVersion="8" background="1" saveData="1">
    <dbPr connection="Provider=Microsoft.Mashup.OleDb.1;Data Source=$Workbook$;Location=&quot;Rural+Urban Combined&quot;;Extended Properties=&quot;&quot;" command="SELECT * FROM [Rural+Urban Combined]"/>
  </connection>
  <connection id="11" xr16:uid="{621C29B3-5651-4555-ACD0-43141404221C}" keepAlive="1" name="Query - Table6" description="Connection to the 'Table6' query in the workbook." type="5" refreshedVersion="0" background="1">
    <dbPr connection="Provider=Microsoft.Mashup.OleDb.1;Data Source=$Workbook$;Location=Table6;Extended Properties=&quot;&quot;" command="SELECT * FROM [Table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<sst xmlns="http://schemas.openxmlformats.org/spreadsheetml/2006/main" count="2736" uniqueCount="268">
  <si>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</si>
  <si>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</si>
  <si>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</si>
  <si>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</si>
  <si>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</si>
  <si>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</si>
  <si>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</si>
  <si>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</si>
  <si>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</si>
  <si>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</si>
  <si>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</si>
  <si>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</si>
  <si>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</si>
  <si>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</si>
  <si>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</si>
  <si>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</si>
  <si>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</si>
  <si>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</si>
  <si>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</si>
  <si>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</si>
  <si>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</si>
  <si>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</si>
  <si>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</si>
  <si>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</si>
  <si>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</si>
  <si>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</si>
  <si>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</si>
  <si>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</si>
  <si>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</si>
  <si>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</si>
  <si>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</si>
  <si>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</si>
  <si>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</si>
  <si>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</si>
  <si>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100.3</t>
  </si>
  <si>
    <t>Rural+Urban</t>
  </si>
  <si>
    <t>February</t>
  </si>
  <si>
    <t>100.4</t>
  </si>
  <si>
    <t>March</t>
  </si>
  <si>
    <t>April</t>
  </si>
  <si>
    <t>100.5</t>
  </si>
  <si>
    <t>May</t>
  </si>
  <si>
    <t>June</t>
  </si>
  <si>
    <t>106.6</t>
  </si>
  <si>
    <t>July</t>
  </si>
  <si>
    <t>107.7</t>
  </si>
  <si>
    <t>August</t>
  </si>
  <si>
    <t>108.9</t>
  </si>
  <si>
    <t>September</t>
  </si>
  <si>
    <t>109.7</t>
  </si>
  <si>
    <t>October</t>
  </si>
  <si>
    <t>110.5</t>
  </si>
  <si>
    <t xml:space="preserve">November </t>
  </si>
  <si>
    <t>November</t>
  </si>
  <si>
    <t>111.1</t>
  </si>
  <si>
    <t>December</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</si>
  <si>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</si>
  <si>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</si>
  <si>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</si>
  <si>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</si>
  <si>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</si>
  <si>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</si>
  <si>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</si>
  <si>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</si>
  <si>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</si>
  <si>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</si>
  <si>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</si>
  <si>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</si>
  <si>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</si>
  <si>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</si>
  <si>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</si>
  <si>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</si>
  <si>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</si>
  <si>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</si>
  <si>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</si>
  <si>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</si>
  <si>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</si>
  <si>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</si>
  <si>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</si>
  <si>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</si>
  <si>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</si>
  <si>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</si>
  <si>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</si>
  <si>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</si>
  <si>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</si>
  <si>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</si>
  <si>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</si>
  <si>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</si>
  <si>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</si>
  <si>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</si>
  <si>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</si>
  <si>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</si>
  <si>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</si>
  <si>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</si>
  <si>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</si>
  <si>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</si>
  <si>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</si>
  <si>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</si>
  <si>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</si>
  <si>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</si>
  <si>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</si>
  <si>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</si>
  <si>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</si>
  <si>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</si>
  <si>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</si>
  <si>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</si>
  <si>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</si>
  <si>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</si>
  <si>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</si>
  <si>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</si>
  <si>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</si>
  <si>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</si>
  <si>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</si>
  <si>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</si>
  <si>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</si>
  <si>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</si>
  <si>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</si>
  <si>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</si>
  <si>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</si>
  <si>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</si>
  <si>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</si>
  <si>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</si>
  <si>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</si>
  <si>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</si>
  <si>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</si>
  <si>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</si>
  <si>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</si>
  <si>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</si>
  <si>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</si>
  <si>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</si>
  <si>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</si>
  <si>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</si>
  <si>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</si>
  <si>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</si>
  <si>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</si>
  <si>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</si>
  <si>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</si>
  <si>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</si>
  <si>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</si>
  <si>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</si>
  <si>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</si>
  <si>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</si>
  <si>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</si>
  <si>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</si>
  <si>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</si>
  <si>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</si>
  <si>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</si>
  <si>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</si>
  <si>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</si>
  <si>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</si>
  <si>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</si>
  <si>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</si>
  <si>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</si>
  <si>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</si>
  <si>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</si>
  <si>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</si>
  <si>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</si>
  <si>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</si>
  <si>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</si>
  <si>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</si>
  <si>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</si>
  <si>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</si>
  <si>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</si>
  <si>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</si>
  <si>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</si>
  <si>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Month Number</t>
  </si>
  <si>
    <t>Date</t>
  </si>
  <si>
    <t>Attribute</t>
  </si>
  <si>
    <t>Value</t>
  </si>
  <si>
    <t>Share of Selected CPI Categories (%</t>
  </si>
  <si>
    <t>Average General index</t>
  </si>
  <si>
    <t>YoY% Inflation</t>
  </si>
  <si>
    <t>__</t>
  </si>
  <si>
    <t>Non alcoholic beverages</t>
  </si>
  <si>
    <t>Prepared meals, snacks, sweets etc</t>
  </si>
  <si>
    <t>Period</t>
  </si>
  <si>
    <t>Food MoM %</t>
  </si>
  <si>
    <t>Food Category</t>
  </si>
  <si>
    <t>Jun.22</t>
  </si>
  <si>
    <t>May.23</t>
  </si>
  <si>
    <t>Absolute Change</t>
  </si>
  <si>
    <t>Percentage Change</t>
  </si>
  <si>
    <t>COVID Period</t>
  </si>
  <si>
    <t xml:space="preserve">PY Food and beverages </t>
  </si>
  <si>
    <t>YoY% Food and beverages</t>
  </si>
  <si>
    <t>PY Fuel and light</t>
  </si>
  <si>
    <t>YoY% Fuel and light</t>
  </si>
  <si>
    <t>PY Health</t>
  </si>
  <si>
    <t>YoY% Health</t>
  </si>
  <si>
    <t>PY Transport and communication</t>
  </si>
  <si>
    <t>YoY% Transport and communication</t>
  </si>
  <si>
    <t>PY General index</t>
  </si>
  <si>
    <t>YoY% General index</t>
  </si>
  <si>
    <t>Pre-COVID</t>
  </si>
  <si>
    <t>COVID Onset</t>
  </si>
  <si>
    <t>Post-COVID</t>
  </si>
  <si>
    <t>(Multiple Items)</t>
  </si>
  <si>
    <t>Column Labels</t>
  </si>
  <si>
    <t>Values</t>
  </si>
  <si>
    <t>Change PP</t>
  </si>
  <si>
    <t>Average of YoY% Food and beverages</t>
  </si>
  <si>
    <t>Average of YoY% Fuel and light</t>
  </si>
  <si>
    <t>Average of YoY% Health</t>
  </si>
  <si>
    <t>Average of YoY% Transport and communication</t>
  </si>
  <si>
    <t>Average of YoY% General index</t>
  </si>
  <si>
    <t>Imported Crude Oil price index.Price</t>
  </si>
  <si>
    <t>MoM% Imported Crude Oil price index</t>
  </si>
  <si>
    <t xml:space="preserve">MoM% Cereals and products </t>
  </si>
  <si>
    <t>MoM% Meat and fish</t>
  </si>
  <si>
    <t>MoM% Egg</t>
  </si>
  <si>
    <t>MoM% Milk and products</t>
  </si>
  <si>
    <t>MoM% Oils and fats</t>
  </si>
  <si>
    <t>MoM% Fruits</t>
  </si>
  <si>
    <t>MoM% Vegetables</t>
  </si>
  <si>
    <t>MoM% Pulses and products</t>
  </si>
  <si>
    <t>MoM% Sugar and Confectionery</t>
  </si>
  <si>
    <t>MoM% Spices</t>
  </si>
  <si>
    <t>MoM% Non alcoholic beverages</t>
  </si>
  <si>
    <t>MoM% Prepared meals, snacks, sweets etc</t>
  </si>
  <si>
    <t>MoM% Food and beverages</t>
  </si>
  <si>
    <t>MoM% Pan, tobacco and intoxicants</t>
  </si>
  <si>
    <t>MoM% Clothing</t>
  </si>
  <si>
    <t>MoM% Footwear</t>
  </si>
  <si>
    <t>MoM% Clothing and footwear</t>
  </si>
  <si>
    <t>MoM% Housing</t>
  </si>
  <si>
    <t>MoM% Fuel and light</t>
  </si>
  <si>
    <t>MoM% Household goods and services</t>
  </si>
  <si>
    <t>MoM% Health</t>
  </si>
  <si>
    <t>MoM% Transport and communication</t>
  </si>
  <si>
    <t>MoM% Recreation and amusement</t>
  </si>
  <si>
    <t>MoM% Education</t>
  </si>
  <si>
    <t>MoM% Personal care and effects</t>
  </si>
  <si>
    <t>MoM% Miscellaneous</t>
  </si>
  <si>
    <t>MoM% General index</t>
  </si>
  <si>
    <t>CPI Category</t>
  </si>
  <si>
    <t>Correlation</t>
  </si>
  <si>
    <t>ABS Correlation</t>
  </si>
  <si>
    <t>Price</t>
  </si>
  <si>
    <t>Change</t>
  </si>
  <si>
    <t>9.94%</t>
  </si>
  <si>
    <t>13.02%</t>
  </si>
  <si>
    <t>6.00%</t>
  </si>
  <si>
    <t>-1.23%</t>
  </si>
  <si>
    <t>4.06%</t>
  </si>
  <si>
    <t>8.25%</t>
  </si>
  <si>
    <t>2.23%</t>
  </si>
  <si>
    <t>-5.34%</t>
  </si>
  <si>
    <t>5.80%</t>
  </si>
  <si>
    <t>13.25%</t>
  </si>
  <si>
    <t>-2.66%</t>
  </si>
  <si>
    <t>-7.67%</t>
  </si>
  <si>
    <t>14.89%</t>
  </si>
  <si>
    <t>9.82%</t>
  </si>
  <si>
    <t>19.97%</t>
  </si>
  <si>
    <t>-4.08%</t>
  </si>
  <si>
    <t>7.82%</t>
  </si>
  <si>
    <t>4.68%</t>
  </si>
  <si>
    <t>-9.21%</t>
  </si>
  <si>
    <t>-6.46%</t>
  </si>
  <si>
    <t>-6.02%</t>
  </si>
  <si>
    <t>3.55%</t>
  </si>
  <si>
    <t>-6.12%</t>
  </si>
  <si>
    <t>-11.42%</t>
  </si>
  <si>
    <t>2.36%</t>
  </si>
  <si>
    <t>-0.08%</t>
  </si>
  <si>
    <t>-4.40%</t>
  </si>
  <si>
    <t>5.60%</t>
  </si>
  <si>
    <t>-9.19%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</si>
</sst>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 mmmm\ yyyy"/>
  </numFmts>
  <fonts count="4">
    <font>
      <sz val="11"/>
      <color theme="1"/>
      <name val="Aptos Narrow"/>
      <family val="2"/>
      <scheme val="minor"/>
    </font>
    <font>
      <b/>
      <sz val="11"/>
      <color theme="0"/>
      <name val="Aptos Narrow"/>
      <family val="2"/>
      <scheme val="minor"/>
    </font>
    <font>
      <sz val="8"/>
      <name val="Aptos Narrow"/>
      <family val="2"/>
      <scheme val="minor"/>
    </font>
    <font>
      <b/>
      <sz val="11"/>
      <color theme="1"/>
      <name val="Aptos Narrow"/>
      <family val="2"/>
      <scheme val="minor"/>
    </font>
  </fonts>
  <fills count="13">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6" tint="0.79998168889431442"/>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0"/>
        <bgColor theme="4"/>
      </patternFill>
    </fill>
    <fill>
      <patternFill patternType="solid">
        <fgColor theme="4" tint="0.79998168889431442"/>
        <bgColor indexed="64"/>
      </patternFill>
    </fill>
    <fill>
      <patternFill patternType="solid">
        <fgColor theme="4"/>
        <bgColor theme="4" tint="0.79998168889431442"/>
      </patternFill>
    </fill>
    <fill>
      <patternFill patternType="solid">
        <fgColor theme="4" tint="0.79998168889431442"/>
        <bgColor theme="4"/>
      </patternFill>
    </fill>
    <fill>
      <patternFill patternType="solid">
        <fgColor theme="4"/>
        <bgColor indexed="64"/>
      </patternFill>
    </fill>
    <fill>
      <patternFill patternType="solid">
        <fgColor theme="0"/>
        <bgColor theme="4" tint="0.79998168889431442"/>
      </patternFill>
    </fill>
  </fills>
  <borders count="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style="thin">
        <color theme="4" tint="0.39997558519241921"/>
      </bottom>
      <diagonal/>
    </border>
    <border>
      <left/>
      <right/>
      <top/>
      <bottom style="thin">
        <color theme="0" tint="-0.14999847407452621"/>
      </bottom>
      <diagonal/>
    </border>
    <border>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4" tint="0.39997558519241921"/>
      </bottom>
      <diagonal/>
    </border>
    <border>
      <left/>
      <right style="thin">
        <color theme="0" tint="-0.34998626667073579"/>
      </right>
      <top style="thin">
        <color theme="4" tint="0.39997558519241921"/>
      </top>
      <bottom style="thin">
        <color theme="4" tint="0.39997558519241921"/>
      </bottom>
      <diagonal/>
    </border>
    <border>
      <left style="thin">
        <color theme="0" tint="-0.34998626667073579"/>
      </left>
      <right style="thin">
        <color theme="0" tint="-0.34998626667073579"/>
      </right>
      <top style="thin">
        <color theme="4" tint="0.39997558519241921"/>
      </top>
      <bottom style="thin">
        <color theme="0" tint="-0.34998626667073579"/>
      </bottom>
      <diagonal/>
    </border>
    <border>
      <left style="thin">
        <color theme="4" tint="0.39997558519241921"/>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right/>
      <top/>
      <bottom style="thin">
        <color theme="4" tint="0.59999389629810485"/>
      </bottom>
      <diagonal/>
    </border>
  </borders>
  <cellStyleXfs count="1">
    <xf numFmtId="0" fontId="0" fillId="0" borderId="0"/>
  </cellStyleXfs>
  <cellXfs count="62">
    <xf numFmtId="0" fontId="0" fillId="0" borderId="0" xfId="0"/>
    <xf numFmtId="14" fontId="0" fillId="0" borderId="0" xfId="0" applyNumberFormat="1"/>
    <xf numFmtId="0" fontId="0" fillId="3" borderId="1" xfId="0" applyFill="1" applyBorder="1"/>
    <xf numFmtId="0" fontId="0" fillId="0" borderId="1" xfId="0" applyBorder="1"/>
    <xf numFmtId="10" fontId="0" fillId="0" borderId="0" xfId="0" applyNumberFormat="1"/>
    <xf numFmtId="0" fontId="0" fillId="4" borderId="0" xfId="0" applyFill="1"/>
    <xf numFmtId="14" fontId="0" fillId="4" borderId="0" xfId="0" applyNumberFormat="1" applyFill="1"/>
    <xf numFmtId="2" fontId="0" fillId="4" borderId="0" xfId="0" applyNumberFormat="1" applyFill="1"/>
    <xf numFmtId="0" fontId="0" fillId="5" borderId="0" xfId="0" applyFill="1"/>
    <xf numFmtId="14" fontId="0" fillId="5" borderId="0" xfId="0" applyNumberFormat="1" applyFill="1"/>
    <xf numFmtId="2" fontId="0" fillId="5" borderId="0" xfId="0" applyNumberFormat="1" applyFill="1"/>
    <xf numFmtId="0" fontId="0" fillId="6" borderId="0" xfId="0" applyFill="1"/>
    <xf numFmtId="14" fontId="0" fillId="6" borderId="0" xfId="0" applyNumberFormat="1" applyFill="1"/>
    <xf numFmtId="2" fontId="0" fillId="6" borderId="0" xfId="0" applyNumberFormat="1" applyFill="1"/>
    <xf numFmtId="14" fontId="0" fillId="0" borderId="1" xfId="0" applyNumberFormat="1" applyBorder="1"/>
    <xf numFmtId="14" fontId="0" fillId="3" borderId="1" xfId="0" applyNumberFormat="1" applyFill="1" applyBorder="1"/>
    <xf numFmtId="0" fontId="1" fillId="2" borderId="3" xfId="0" applyFont="1" applyFill="1" applyBorder="1"/>
    <xf numFmtId="0" fontId="0" fillId="3" borderId="4" xfId="0" applyFill="1" applyBorder="1"/>
    <xf numFmtId="14" fontId="0" fillId="3" borderId="4" xfId="0" applyNumberFormat="1" applyFill="1" applyBorder="1"/>
    <xf numFmtId="0" fontId="0" fillId="3" borderId="2" xfId="0" applyFill="1" applyBorder="1"/>
    <xf numFmtId="0" fontId="1" fillId="2" borderId="6" xfId="0" applyFont="1" applyFill="1" applyBorder="1"/>
    <xf numFmtId="0" fontId="0" fillId="0" borderId="4" xfId="0" applyBorder="1"/>
    <xf numFmtId="14" fontId="0" fillId="0" borderId="4" xfId="0" applyNumberFormat="1" applyBorder="1"/>
    <xf numFmtId="0" fontId="0" fillId="0" borderId="5" xfId="0" applyBorder="1"/>
    <xf numFmtId="0" fontId="0" fillId="0" borderId="7" xfId="0" applyBorder="1"/>
    <xf numFmtId="0" fontId="0" fillId="0" borderId="8" xfId="0" applyBorder="1"/>
    <xf numFmtId="0" fontId="0" fillId="0" borderId="12" xfId="0" applyBorder="1" applyAlignment="1">
      <alignment horizontal="right"/>
    </xf>
    <xf numFmtId="0" fontId="0" fillId="3" borderId="13" xfId="0" applyFill="1" applyBorder="1" applyAlignment="1">
      <alignment horizontal="right"/>
    </xf>
    <xf numFmtId="10" fontId="0" fillId="0" borderId="10" xfId="0" applyNumberFormat="1" applyBorder="1" applyAlignment="1">
      <alignment horizontal="right"/>
    </xf>
    <xf numFmtId="0" fontId="0" fillId="3" borderId="14" xfId="0" applyFill="1" applyBorder="1" applyAlignment="1">
      <alignment horizontal="right"/>
    </xf>
    <xf numFmtId="0" fontId="0" fillId="3" borderId="15" xfId="0" applyFill="1" applyBorder="1" applyAlignment="1">
      <alignment horizontal="right"/>
    </xf>
    <xf numFmtId="10" fontId="0" fillId="0" borderId="11" xfId="0" applyNumberFormat="1" applyBorder="1" applyAlignment="1">
      <alignment horizontal="right"/>
    </xf>
    <xf numFmtId="0" fontId="0" fillId="0" borderId="0" xfId="0" applyNumberFormat="1"/>
    <xf numFmtId="2" fontId="0" fillId="0" borderId="0" xfId="0" applyNumberFormat="1"/>
    <xf numFmtId="164" fontId="0" fillId="0" borderId="0" xfId="0" applyNumberFormat="1"/>
    <xf numFmtId="0" fontId="0" fillId="0" borderId="0" xfId="0" applyAlignment="1">
      <alignment horizontal="right"/>
    </xf>
    <xf numFmtId="165" fontId="0" fillId="0" borderId="0" xfId="0" applyNumberFormat="1"/>
    <xf numFmtId="0" fontId="3" fillId="7" borderId="1" xfId="0" applyFont="1" applyFill="1" applyBorder="1"/>
    <xf numFmtId="165" fontId="0" fillId="8" borderId="0" xfId="0" applyNumberFormat="1" applyFill="1"/>
    <xf numFmtId="0" fontId="3" fillId="10" borderId="1" xfId="0" applyFont="1" applyFill="1" applyBorder="1"/>
    <xf numFmtId="0" fontId="3" fillId="10" borderId="2" xfId="0" applyFont="1" applyFill="1" applyBorder="1"/>
    <xf numFmtId="166" fontId="0" fillId="0" borderId="3" xfId="0" applyNumberFormat="1" applyBorder="1"/>
    <xf numFmtId="166" fontId="0" fillId="0" borderId="1" xfId="0" applyNumberFormat="1" applyBorder="1"/>
    <xf numFmtId="0" fontId="0" fillId="12" borderId="14" xfId="0" applyFill="1" applyBorder="1" applyAlignment="1">
      <alignment horizontal="right"/>
    </xf>
    <xf numFmtId="0" fontId="1" fillId="11" borderId="10" xfId="0" applyFont="1" applyFill="1" applyBorder="1"/>
    <xf numFmtId="17" fontId="1" fillId="11" borderId="10" xfId="0" applyNumberFormat="1" applyFont="1" applyFill="1" applyBorder="1"/>
    <xf numFmtId="0" fontId="3" fillId="7" borderId="1" xfId="0" applyFont="1" applyFill="1" applyBorder="1" applyAlignment="1">
      <alignment horizontal="left"/>
    </xf>
    <xf numFmtId="0" fontId="3" fillId="7" borderId="5" xfId="0" applyFont="1" applyFill="1" applyBorder="1" applyAlignment="1">
      <alignment horizontal="left"/>
    </xf>
    <xf numFmtId="0" fontId="0" fillId="0" borderId="16" xfId="0" applyBorder="1" applyAlignment="1">
      <alignment horizontal="right"/>
    </xf>
    <xf numFmtId="0" fontId="0" fillId="12" borderId="17" xfId="0" applyFill="1" applyBorder="1" applyAlignment="1">
      <alignment horizontal="right"/>
    </xf>
    <xf numFmtId="0" fontId="0" fillId="0" borderId="18" xfId="0" applyBorder="1" applyAlignment="1">
      <alignment horizontal="right"/>
    </xf>
    <xf numFmtId="10" fontId="0" fillId="0" borderId="19" xfId="0" applyNumberFormat="1" applyBorder="1" applyAlignment="1">
      <alignment horizontal="right"/>
    </xf>
    <xf numFmtId="0" fontId="0" fillId="8" borderId="12" xfId="0" applyFill="1" applyBorder="1" applyAlignment="1">
      <alignment horizontal="right"/>
    </xf>
    <xf numFmtId="0" fontId="3" fillId="10" borderId="3" xfId="0" applyFont="1" applyFill="1" applyBorder="1" applyAlignment="1">
      <alignment horizontal="left"/>
    </xf>
    <xf numFmtId="0" fontId="3" fillId="10" borderId="1" xfId="0" applyFont="1" applyFill="1" applyBorder="1" applyAlignment="1">
      <alignment horizontal="left"/>
    </xf>
    <xf numFmtId="166" fontId="0" fillId="12" borderId="1" xfId="0" applyNumberFormat="1" applyFill="1" applyBorder="1"/>
    <xf numFmtId="14" fontId="0" fillId="9" borderId="9" xfId="0" applyNumberFormat="1" applyFill="1" applyBorder="1"/>
    <xf numFmtId="0" fontId="0" fillId="11" borderId="0" xfId="0" applyFill="1"/>
    <xf numFmtId="0" fontId="0" fillId="0" borderId="0" xfId="0" pivotButton="1"/>
    <xf numFmtId="0" fontId="0" fillId="0" borderId="0" xfId="0" applyAlignment="1">
      <alignment horizontal="left"/>
    </xf>
    <xf numFmtId="0" fontId="3" fillId="8" borderId="20" xfId="0" applyFont="1" applyFill="1" applyBorder="1"/>
    <xf numFmtId="0" fontId="0" fillId="8" borderId="0" xfId="0" applyFill="1" applyAlignment="1">
      <alignment horizontal="center"/>
    </xf>
  </cellXfs>
  <cellStyles count="1">
    <cellStyle name="Normal" xfId="0" builtinId="0"/>
  </cellStyles>
  <dxfs count="131">
    <dxf>
      <numFmt numFmtId="0" formatCode="General"/>
    </dxf>
    <dxf>
      <numFmt numFmtId="167" formatCode="d/m/yy"/>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d/m/yy"/>
    </dxf>
    <dxf>
      <numFmt numFmtId="0" formatCode="General"/>
    </dxf>
    <dxf>
      <numFmt numFmtId="0" formatCode="General"/>
    </dxf>
    <dxf>
      <numFmt numFmtId="165" formatCode="0.000"/>
    </dxf>
    <dxf>
      <numFmt numFmtId="165" formatCode="0.000"/>
    </dxf>
    <dxf>
      <font>
        <b/>
        <i val="0"/>
        <strike val="0"/>
        <condense val="0"/>
        <extend val="0"/>
        <outline val="0"/>
        <shadow val="0"/>
        <u val="none"/>
        <vertAlign val="baseline"/>
        <sz val="11"/>
        <color theme="1"/>
        <name val="Aptos Narrow"/>
        <family val="2"/>
        <scheme val="minor"/>
      </font>
      <fill>
        <patternFill patternType="solid">
          <fgColor theme="4"/>
          <bgColor theme="0"/>
        </patternFill>
      </fill>
      <border diagonalUp="0" diagonalDown="0">
        <left/>
        <right/>
        <top style="thin">
          <color theme="4" tint="0.39997558519241921"/>
        </top>
        <bottom style="thin">
          <color theme="4" tint="0.3999755851924192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2" formatCode="0.00"/>
    </dxf>
    <dxf>
      <numFmt numFmtId="164" formatCode="0.0"/>
    </dxf>
    <dxf>
      <numFmt numFmtId="14" formatCode="0.00%"/>
    </dxf>
    <dxf>
      <numFmt numFmtId="0" formatCode="General"/>
    </dxf>
    <dxf>
      <numFmt numFmtId="14" formatCode="0.00%"/>
    </dxf>
    <dxf>
      <numFmt numFmtId="0" formatCode="General"/>
    </dxf>
    <dxf>
      <numFmt numFmtId="0" formatCode="General"/>
    </dxf>
    <dxf>
      <numFmt numFmtId="167" formatCode="d/m/yy"/>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67" formatCode="d/m/yy"/>
    </dxf>
    <dxf>
      <numFmt numFmtId="0" formatCode="General"/>
    </dxf>
    <dxf>
      <numFmt numFmtId="0" formatCode="General"/>
    </dxf>
    <dxf>
      <numFmt numFmtId="14" formatCode="0.00%"/>
      <alignment horizontal="right" vertical="bottom" textRotation="0" wrapText="0" indent="0" justifyLastLine="0" shrinkToFit="0" readingOrder="0"/>
      <border diagonalUp="0" diagonalDown="0">
        <left/>
        <right/>
        <top/>
        <bottom style="thin">
          <color theme="0" tint="-0.34998626667073579"/>
        </bottom>
        <vertical/>
        <horizontal/>
      </border>
    </dxf>
    <dxf>
      <alignment horizontal="right" vertical="bottom"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fill>
        <patternFill patternType="solid">
          <fgColor theme="4" tint="0.79998168889431442"/>
          <bgColor theme="0"/>
        </patternFill>
      </fill>
      <alignment horizontal="right" vertical="bottom" textRotation="0" wrapText="0" indent="0" justifyLastLine="0" shrinkToFit="0" readingOrder="0"/>
      <border diagonalUp="0" diagonalDown="0">
        <left/>
        <right style="thin">
          <color theme="0" tint="-0.34998626667073579"/>
        </right>
        <top style="thin">
          <color theme="4" tint="0.39997558519241921"/>
        </top>
        <bottom style="thin">
          <color theme="4" tint="0.39997558519241921"/>
        </bottom>
        <vertical/>
        <horizontal/>
      </border>
    </dxf>
    <dxf>
      <alignment horizontal="right" vertical="bottom"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1"/>
        <color theme="1"/>
        <name val="Aptos Narrow"/>
        <family val="2"/>
        <scheme val="minor"/>
      </font>
      <fill>
        <patternFill patternType="solid">
          <fgColor theme="4"/>
          <bgColor theme="0"/>
        </patternFill>
      </fill>
      <alignment horizontal="lef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bottom style="thin">
          <color theme="0" tint="-0.34998626667073579"/>
        </bottom>
      </border>
    </dxf>
    <dxf>
      <border outline="0">
        <bottom style="thin">
          <color theme="0" tint="-0.34998626667073579"/>
        </bottom>
      </border>
    </dxf>
    <dxf>
      <font>
        <b/>
        <i val="0"/>
        <strike val="0"/>
        <condense val="0"/>
        <extend val="0"/>
        <outline val="0"/>
        <shadow val="0"/>
        <u val="none"/>
        <vertAlign val="baseline"/>
        <sz val="11"/>
        <color theme="0"/>
        <name val="Aptos Narrow"/>
        <family val="2"/>
        <scheme val="minor"/>
      </font>
      <fill>
        <patternFill patternType="solid">
          <fgColor indexed="64"/>
          <bgColor theme="4"/>
        </patternFill>
      </fill>
    </dxf>
    <dxf>
      <numFmt numFmtId="14" formatCode="0.00%"/>
    </dxf>
    <dxf>
      <font>
        <b val="0"/>
        <i val="0"/>
        <strike val="0"/>
        <condense val="0"/>
        <extend val="0"/>
        <outline val="0"/>
        <shadow val="0"/>
        <u val="none"/>
        <vertAlign val="baseline"/>
        <sz val="11"/>
        <color theme="1"/>
        <name val="Aptos Narrow"/>
        <family val="2"/>
        <scheme val="minor"/>
      </font>
      <numFmt numFmtId="166" formatCode="\ mmmm\ yy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border>
    </dxf>
    <dxf>
      <fill>
        <patternFill>
          <bgColor theme="3" tint="9.9978637043366805E-2"/>
        </patternFill>
      </fill>
    </dxf>
    <dxf>
      <numFmt numFmtId="167" formatCode="d/m/yy"/>
    </dxf>
    <dxf>
      <numFmt numFmtId="0" formatCode="General"/>
    </dxf>
    <dxf>
      <numFmt numFmtId="0" formatCode="General"/>
    </dxf>
    <dxf>
      <numFmt numFmtId="0" formatCode="General"/>
    </dxf>
    <dxf>
      <numFmt numFmtId="167" formatCode="d/m/yy"/>
    </dxf>
    <dxf>
      <numFmt numFmtId="0" formatCode="General"/>
    </dxf>
    <dxf>
      <numFmt numFmtId="167" formatCode="d/m/yy"/>
    </dxf>
    <dxf>
      <numFmt numFmtId="0" formatCode="General"/>
    </dxf>
    <dxf>
      <numFmt numFmtId="0" formatCode="General"/>
    </dxf>
    <dxf>
      <numFmt numFmtId="0" formatCode="General"/>
    </dxf>
    <dxf>
      <numFmt numFmtId="0" formatCode="General"/>
    </dxf>
    <dxf>
      <numFmt numFmtId="0" formatCode="General"/>
    </dxf>
    <dxf>
      <numFmt numFmtId="14" formatCode="0.00%"/>
    </dxf>
  </dxfs>
  <tableStyles count="0" defaultTableStyle="TableStyleMedium2"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1'!$C$5:$C$28</c:f>
              <c:strCache>
                <c:ptCount val="8"/>
                <c:pt idx="0">
                  <c:v>Food and beverages</c:v>
                </c:pt>
                <c:pt idx="1">
                  <c:v>Pan, tobacco and intoxicants</c:v>
                </c:pt>
                <c:pt idx="2">
                  <c:v>Clothing and footwear</c:v>
                </c:pt>
                <c:pt idx="3">
                  <c:v>Fuel and light</c:v>
                </c:pt>
                <c:pt idx="4">
                  <c:v>Household goods and services</c:v>
                </c:pt>
                <c:pt idx="5">
                  <c:v>Health</c:v>
                </c:pt>
                <c:pt idx="6">
                  <c:v>Transport and communication</c:v>
                </c:pt>
                <c:pt idx="7">
                  <c:v>Education</c:v>
                </c:pt>
              </c:strCache>
            </c:strRef>
          </c:cat>
          <c:val>
            <c:numRef>
              <c:f>'analysis 1'!$D$5:$D$28</c:f>
              <c:numCache>
                <c:formatCode>General</c:formatCode>
                <c:ptCount val="8"/>
                <c:pt idx="0">
                  <c:v>179.1</c:v>
                </c:pt>
                <c:pt idx="1">
                  <c:v>201</c:v>
                </c:pt>
                <c:pt idx="2">
                  <c:v>186.2</c:v>
                </c:pt>
                <c:pt idx="3">
                  <c:v>182.8</c:v>
                </c:pt>
                <c:pt idx="4">
                  <c:v>175.2</c:v>
                </c:pt>
                <c:pt idx="5">
                  <c:v>185.7</c:v>
                </c:pt>
                <c:pt idx="6">
                  <c:v>164.8</c:v>
                </c:pt>
                <c:pt idx="7">
                  <c:v>177.1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7114-4318-B263-654A4AA999F3}"/>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1'!$C$5:$C$28</c:f>
              <c:strCache>
                <c:ptCount val="8"/>
                <c:pt idx="0">
                  <c:v>Food and beverages</c:v>
                </c:pt>
                <c:pt idx="1">
                  <c:v>Pan, tobacco and intoxicants</c:v>
                </c:pt>
                <c:pt idx="2">
                  <c:v>Clothing and footwear</c:v>
                </c:pt>
                <c:pt idx="3">
                  <c:v>Fuel and light</c:v>
                </c:pt>
                <c:pt idx="4">
                  <c:v>Household goods and services</c:v>
                </c:pt>
                <c:pt idx="5">
                  <c:v>Health</c:v>
                </c:pt>
                <c:pt idx="6">
                  <c:v>Transport and communication</c:v>
                </c:pt>
                <c:pt idx="7">
                  <c:v>Education</c:v>
                </c:pt>
              </c:strCache>
            </c:strRef>
          </c:cat>
          <c:val>
            <c:numRef>
              <c:f>'analysis 1'!$E$5:$E$28</c:f>
              <c:numCache>
                <c:formatCode>0.00</c:formatCode>
                <c:ptCount val="8"/>
                <c:pt idx="0">
                  <c:v>12.335560300296164</c:v>
                </c:pt>
                <c:pt idx="1">
                  <c:v>13.843928645223503</c:v>
                </c:pt>
                <c:pt idx="2">
                  <c:v>12.824574695226945</c:v>
                </c:pt>
                <c:pt idx="3">
                  <c:v>12.590398787795303</c:v>
                </c:pt>
                <c:pt idx="4">
                  <c:v>12.066946759418693</c:v>
                </c:pt>
                <c:pt idx="5">
                  <c:v>12.790137061781115</c:v>
                </c:pt>
                <c:pt idx="6">
                  <c:v>11.350643983745439</c:v>
                </c:pt>
                <c:pt idx="7">
                  <c:v>12.197809766512846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7114-4318-B263-654A4AA999F3}"/>
            </c:ext>
          </c:extLst>
        </c:ser>
        <c:dLbls>
          <c:showLegendKey val="0"/>
          <c:showVal val="1"/>
          <c:showCatName val="0"/>
          <c:showSerName val="0"/>
          <c:showPercent val="0"/>
          <c:showBubbleSize val="0"/>
        </c:dLbls>
        <c:gapWidth val="115"/>
        <c:overlap val="-20"/>
        <c:axId val="369806160"/>
        <c:axId val="369805440"/>
      </c:barChart>
      <c:catAx>
        <c:axId val="369806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805440"/>
        <c:crosses val="autoZero"/>
        <c:auto val="1"/>
        <c:lblAlgn val="ctr"/>
        <c:lblOffset val="100"/>
        <c:noMultiLvlLbl val="0"/>
      </c:catAx>
      <c:valAx>
        <c:axId val="3698054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806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r>
              <a:rPr lang="en-IN" sz="1500" b="1" i="0" u="none" strike="noStrike" kern="1200" cap="all" spc="100" normalizeH="0" baseline="0">
                <a:solidFill>
                  <a:sysClr val="window" lastClr="FFFFFF"/>
                </a:solidFill>
              </a:rPr>
              <a:t>YoY CPI Inflation Trend – Rural+Urban (2017–2022)</a:t>
            </a:r>
            <a:endParaRPr lang="en-US" sz="1500" b="1" i="0" u="none" strike="noStrike" kern="1200" cap="all" spc="100" normalizeH="0" baseline="0">
              <a:solidFill>
                <a:sysClr val="window" lastClr="FFFFFF"/>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txPr>
    </c:title>
    <c:autoTitleDeleted val="0"/>
    <c:plotArea>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numRef>
              <c:f>'Analysis 2'!$A$6:$A$11</c:f>
              <c:numCache>
                <c:formatCode>General</c:formatCode>
                <c:ptCount val="6"/>
                <c:pt idx="0">
                  <c:v>2017</c:v>
                </c:pt>
                <c:pt idx="1">
                  <c:v>2018</c:v>
                </c:pt>
                <c:pt idx="2">
                  <c:v>2019</c:v>
                </c:pt>
                <c:pt idx="3">
                  <c:v>2020</c:v>
                </c:pt>
                <c:pt idx="4">
                  <c:v>2021</c:v>
                </c:pt>
                <c:pt idx="5">
                  <c:v>2022</c:v>
                </c:pt>
              </c:numCache>
            </c:numRef>
          </c:cat>
          <c:val>
            <c:numRef>
              <c:f>'Analysis 2'!$C$6:$C$11</c:f>
              <c:numCache>
                <c:formatCode>0.00%</c:formatCode>
                <c:ptCount val="6"/>
                <c:pt idx="0">
                  <c:v>3.3281733746130124E-2</c:v>
                </c:pt>
                <c:pt idx="1">
                  <c:v>3.955056179775282E-2</c:v>
                </c:pt>
                <c:pt idx="2">
                  <c:v>3.7109093529327036E-2</c:v>
                </c:pt>
                <c:pt idx="3">
                  <c:v>6.1974570972000188E-2</c:v>
                </c:pt>
                <c:pt idx="4">
                  <c:v>5.6329735034347489E-2</c:v>
                </c:pt>
                <c:pt idx="5">
                  <c:v>6.6208348817044446E-2</c:v>
                </c:pt>
              </c:numCache>
            </c:numRef>
          </c:val>
          <c:smooth val="0"/>
          <c:extLst>
            <c:ext xmlns:c16="http://schemas.microsoft.com/office/drawing/2014/chart" uri="{C3380CC4-5D6E-409C-BE32-E72D297353CC}">
              <c16:uniqueId val="{00000001-2DC5-45C4-AE4E-1C955A1EAD45}"/>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54620359"/>
        <c:axId val="154623599"/>
      </c:lineChart>
      <c:catAx>
        <c:axId val="15462035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4623599"/>
        <c:crosses val="autoZero"/>
        <c:auto val="1"/>
        <c:lblAlgn val="ctr"/>
        <c:lblOffset val="100"/>
        <c:noMultiLvlLbl val="0"/>
      </c:catAx>
      <c:valAx>
        <c:axId val="1546235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4620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sz="1800" b="1" i="0" u="none" strike="noStrike" kern="1200" baseline="0">
                <a:solidFill>
                  <a:schemeClr val="bg1"/>
                </a:solidFill>
              </a:rPr>
              <a:t>Absolute Change in Food Category CPI: June 2022–May 2023</a:t>
            </a:r>
            <a:endParaRPr lang="en-US" sz="1800" b="1" i="0" u="none" strike="noStrike" kern="1200" baseline="0">
              <a:solidFill>
                <a:schemeClr val="bg1"/>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lotArea>
      <c:layout>
        <c:manualLayout>
          <c:layoutTarget val="inner"/>
          <c:xMode val="edge"/>
          <c:yMode val="edge"/>
          <c:x val="0.24046209686622272"/>
          <c:y val="0.29420588414820242"/>
          <c:w val="0.72316576662138832"/>
          <c:h val="0.61618842702801679"/>
        </c:manualLayout>
      </c:layout>
      <c:barChart>
        <c:barDir val="bar"/>
        <c:grouping val="clustered"/>
        <c:varyColors val="0"/>
        <c:ser>
          <c:idx val="2"/>
          <c:order val="0"/>
          <c:tx>
            <c:strRef>
              <c:f>'Analysis 3'!$L$22</c:f>
              <c:strCache>
                <c:ptCount val="1"/>
                <c:pt idx="0">
                  <c:v>Absolute Change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3'!$I$23:$I$34</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 alcoholic beverages</c:v>
                </c:pt>
                <c:pt idx="11">
                  <c:v>Prepared meals, snacks, sweets etc</c:v>
                </c:pt>
              </c:strCache>
            </c:strRef>
          </c:cat>
          <c:val>
            <c:numRef>
              <c:f>'Analysis 3'!$L$23:$L$34</c:f>
              <c:numCache>
                <c:formatCode>General</c:formatCode>
                <c:ptCount val="12"/>
                <c:pt idx="0">
                  <c:v>18.699999999999989</c:v>
                </c:pt>
                <c:pt idx="1">
                  <c:v>-5.0999999999999943</c:v>
                </c:pt>
                <c:pt idx="2">
                  <c:v>2.3999999999999773</c:v>
                </c:pt>
                <c:pt idx="3">
                  <c:v>13.699999999999989</c:v>
                </c:pt>
                <c:pt idx="4">
                  <c:v>-30.900000000000006</c:v>
                </c:pt>
                <c:pt idx="5">
                  <c:v>2.5</c:v>
                </c:pt>
                <c:pt idx="6">
                  <c:v>-21.300000000000011</c:v>
                </c:pt>
                <c:pt idx="7">
                  <c:v>11.299999999999983</c:v>
                </c:pt>
                <c:pt idx="8">
                  <c:v>2.7999999999999972</c:v>
                </c:pt>
                <c:pt idx="9">
                  <c:v>30.900000000000006</c:v>
                </c:pt>
                <c:pt idx="10">
                  <c:v>5.5</c:v>
                </c:pt>
                <c:pt idx="11">
                  <c:v>10.299999999999983</c:v>
                </c:pt>
              </c:numCache>
            </c:numRef>
          </c:val>
          <c:extLst>
            <c:ext xmlns:c16="http://schemas.microsoft.com/office/drawing/2014/chart" uri="{C3380CC4-5D6E-409C-BE32-E72D297353CC}">
              <c16:uniqueId val="{00000002-7BD9-4287-B693-7553A52E2CC7}"/>
            </c:ext>
          </c:extLst>
        </c:ser>
        <c:dLbls>
          <c:dLblPos val="outEnd"/>
          <c:showLegendKey val="0"/>
          <c:showVal val="1"/>
          <c:showCatName val="0"/>
          <c:showSerName val="0"/>
          <c:showPercent val="0"/>
          <c:showBubbleSize val="0"/>
        </c:dLbls>
        <c:gapWidth val="182"/>
        <c:overlap val="-50"/>
        <c:axId val="152195527"/>
        <c:axId val="1095994959"/>
      </c:barChart>
      <c:catAx>
        <c:axId val="15219552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5994959"/>
        <c:crosses val="autoZero"/>
        <c:auto val="1"/>
        <c:lblAlgn val="ctr"/>
        <c:lblOffset val="100"/>
        <c:noMultiLvlLbl val="0"/>
      </c:catAx>
      <c:valAx>
        <c:axId val="109599495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195527"/>
        <c:crosses val="autoZero"/>
        <c:crossBetween val="between"/>
      </c:valAx>
      <c:spPr>
        <a:noFill/>
        <a:ln>
          <a:noFill/>
        </a:ln>
        <a:effectLst/>
      </c:spPr>
    </c:plotArea>
    <c:legend>
      <c:legendPos val="t"/>
      <c:layout>
        <c:manualLayout>
          <c:xMode val="edge"/>
          <c:yMode val="edge"/>
          <c:x val="0.400474134281602"/>
          <c:y val="0.22879844961240309"/>
          <c:w val="0.19905154737845707"/>
          <c:h val="6.18136194514147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sz="1400" b="1" i="0" u="none" strike="noStrike" kern="1200" cap="all" spc="100" normalizeH="0" baseline="0">
                <a:solidFill>
                  <a:sysClr val="window" lastClr="FFFFFF"/>
                </a:solidFill>
              </a:rPr>
              <a:t>Month-on-Month Food Inflation – June 2022 to May 2023</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8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lotArea>
      <c:layout/>
      <c:lineChart>
        <c:grouping val="standard"/>
        <c:varyColors val="0"/>
        <c:ser>
          <c:idx val="0"/>
          <c:order val="0"/>
          <c:tx>
            <c:strRef>
              <c:f>'Analysis 3'!$B$22</c:f>
              <c:strCache>
                <c:ptCount val="1"/>
                <c:pt idx="0">
                  <c:v>Food MoM %</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'Analysis 3'!$A$23:$A$34</c:f>
              <c:numCache>
                <c:formatCode>\ mmmm\ yyyy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'Analysis 3'!$B$23:$B$34</c:f>
              <c:numCache>
                <c:formatCode>0.00%</c:formatCode>
                <c:ptCount val="12"/>
                <c:pt idx="0">
                  <c:v>9.2325447201384546E-3</c:v>
                </c:pt>
                <c:pt idx="1">
                  <c:v>5.7175528873638828E-4</c:v>
                </c:pt>
                <c:pt idx="2">
                  <c:v>7.4285714285714935E-3</c:v>
                </c:pt>
                <c:pt idx="3">
                  <c:v>8.5082246171298923E-3</c:v>
                </c:pt>
                <c:pt idx="4">
                  <c:v>1.0123734533183255E-2</c:v>
                </c:pt>
                <c:pt idx="5">
                  <c:v>-7.2383073496658295E-3</c:v>
                </c:pt>
                <c:pt idx="6">
                  <c:v>-1.3460459899046581E-2</c:v>
                </c:pt>
                <c:pt idx="7">
                  <c:v>4.5480386583284984E-3</c:v>
                </c:pt>
                <c:pt idx="8">
                  <c:v>1.6977928692700134E-3</c:v>
                </c:pt>
                <c:pt idx="9">
                  <c:v>0</c:v>
                </c:pt>
                <c:pt idx="10">
                  <c:v>5.0847457627118961E-3</c:v>
                </c:pt>
                <c:pt idx="11">
                  <c:v>6.7453625632377095E-3</c:v>
                </c:pt>
              </c:numCache>
            </c:numRef>
          </c:val>
          <c:smooth val="0"/>
          <c:extLst>
            <c:ext xmlns:c16="http://schemas.microsoft.com/office/drawing/2014/chart" uri="{C3380CC4-5D6E-409C-BE32-E72D297353CC}">
              <c16:uniqueId val="{00000000-3FE5-4D7D-AC07-974C267C2553}"/>
            </c:ext>
          </c:extLst>
        </c:ser>
        <c:dLbls>
          <c:showLegendKey val="0"/>
          <c:showVal val="1"/>
          <c:showCatName val="0"/>
          <c:showSerName val="0"/>
          <c:showPercent val="0"/>
          <c:showBubbleSize val="0"/>
        </c:dLbls>
        <c:smooth val="0"/>
        <c:axId val="202178095"/>
        <c:axId val="202178455"/>
      </c:lineChart>
      <c:dateAx>
        <c:axId val="202178095"/>
        <c:scaling>
          <c:orientation val="minMax"/>
        </c:scaling>
        <c:delete val="0"/>
        <c:axPos val="b"/>
        <c:numFmt formatCode="\ mmmm\ yyyy" sourceLinked="1"/>
        <c:majorTickMark val="out"/>
        <c:minorTickMark val="none"/>
        <c:tickLblPos val="low"/>
        <c:spPr>
          <a:noFill/>
          <a:ln>
            <a:noFill/>
          </a:ln>
          <a:effectLst/>
        </c:spPr>
        <c:txPr>
          <a:bodyPr rot="-540000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178455"/>
        <c:crosses val="autoZero"/>
        <c:auto val="1"/>
        <c:lblOffset val="100"/>
        <c:baseTimeUnit val="months"/>
        <c:majorUnit val="1"/>
        <c:majorTimeUnit val="months"/>
      </c:dateAx>
      <c:valAx>
        <c:axId val="202178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217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 CPI Inflation Analysis (2013-2023).xlsx]Analysis 4!PivotTable1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Average YoY Inflation by COVID Period</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4'!$E$47:$E$48</c:f>
              <c:strCache>
                <c:ptCount val="1"/>
                <c:pt idx="0">
                  <c:v>Pre-COVID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4'!$D$49:$D$53</c:f>
              <c:strCache>
                <c:ptCount val="5"/>
                <c:pt idx="0">
                  <c:v>Average of YoY% Food and beverages</c:v>
                </c:pt>
                <c:pt idx="1">
                  <c:v>Average of YoY% Fuel and light</c:v>
                </c:pt>
                <c:pt idx="2">
                  <c:v>Average of YoY% Health</c:v>
                </c:pt>
                <c:pt idx="3">
                  <c:v>Average of YoY% Transport and communication</c:v>
                </c:pt>
                <c:pt idx="4">
                  <c:v>Average of YoY% General index</c:v>
                </c:pt>
              </c:strCache>
            </c:strRef>
          </c:cat>
          <c:val>
            <c:numRef>
              <c:f>'Analysis 4'!$E$49:$E$53</c:f>
              <c:numCache>
                <c:formatCode>0.00%</c:formatCode>
                <c:ptCount val="5"/>
                <c:pt idx="0">
                  <c:v>5.4710051438602858E-2</c:v>
                </c:pt>
                <c:pt idx="1">
                  <c:v>9.1827132313952817E-3</c:v>
                </c:pt>
                <c:pt idx="2">
                  <c:v>6.6503765623921726E-2</c:v>
                </c:pt>
                <c:pt idx="3">
                  <c:v>2.3727306010961402E-2</c:v>
                </c:pt>
                <c:pt idx="4">
                  <c:v>4.5080683192674553E-2</c:v>
                </c:pt>
              </c:numCache>
            </c:numRef>
          </c:val>
          <c:extLst>
            <c:ext xmlns:c16="http://schemas.microsoft.com/office/drawing/2014/chart" uri="{C3380CC4-5D6E-409C-BE32-E72D297353CC}">
              <c16:uniqueId val="{00000000-B6AD-40A9-B476-972013C3CBC3}"/>
            </c:ext>
          </c:extLst>
        </c:ser>
        <c:ser>
          <c:idx val="1"/>
          <c:order val="1"/>
          <c:tx>
            <c:strRef>
              <c:f>'Analysis 4'!$F$47:$F$48</c:f>
              <c:strCache>
                <c:ptCount val="1"/>
                <c:pt idx="0">
                  <c:v>COVID Onset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4'!$D$49:$D$53</c:f>
              <c:strCache>
                <c:ptCount val="5"/>
                <c:pt idx="0">
                  <c:v>Average of YoY% Food and beverages</c:v>
                </c:pt>
                <c:pt idx="1">
                  <c:v>Average of YoY% Fuel and light</c:v>
                </c:pt>
                <c:pt idx="2">
                  <c:v>Average of YoY% Health</c:v>
                </c:pt>
                <c:pt idx="3">
                  <c:v>Average of YoY% Transport and communication</c:v>
                </c:pt>
                <c:pt idx="4">
                  <c:v>Average of YoY% General index</c:v>
                </c:pt>
              </c:strCache>
            </c:strRef>
          </c:cat>
          <c:val>
            <c:numRef>
              <c:f>'Analysis 4'!$F$49:$F$53</c:f>
              <c:numCache>
                <c:formatCode>0.00%</c:formatCode>
                <c:ptCount val="5"/>
                <c:pt idx="0">
                  <c:v>7.8204199855177459E-2</c:v>
                </c:pt>
                <c:pt idx="1">
                  <c:v>6.5855404438081688E-2</c:v>
                </c:pt>
                <c:pt idx="2">
                  <c:v>4.1723666210670363E-2</c:v>
                </c:pt>
                <c:pt idx="3">
                  <c:v>4.2536115569823618E-2</c:v>
                </c:pt>
                <c:pt idx="4">
                  <c:v>5.8404558404558271E-2</c:v>
                </c:pt>
              </c:numCache>
            </c:numRef>
          </c:val>
          <c:extLst>
            <c:ext xmlns:c16="http://schemas.microsoft.com/office/drawing/2014/chart" uri="{C3380CC4-5D6E-409C-BE32-E72D297353CC}">
              <c16:uniqueId val="{00000001-B6AD-40A9-B476-972013C3CBC3}"/>
            </c:ext>
          </c:extLst>
        </c:ser>
        <c:ser>
          <c:idx val="2"/>
          <c:order val="2"/>
          <c:tx>
            <c:strRef>
              <c:f>'Analysis 4'!$G$47:$G$48</c:f>
              <c:strCache>
                <c:ptCount val="1"/>
                <c:pt idx="0">
                  <c:v>Post-COVID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4'!$D$49:$D$53</c:f>
              <c:strCache>
                <c:ptCount val="5"/>
                <c:pt idx="0">
                  <c:v>Average of YoY% Food and beverages</c:v>
                </c:pt>
                <c:pt idx="1">
                  <c:v>Average of YoY% Fuel and light</c:v>
                </c:pt>
                <c:pt idx="2">
                  <c:v>Average of YoY% Health</c:v>
                </c:pt>
                <c:pt idx="3">
                  <c:v>Average of YoY% Transport and communication</c:v>
                </c:pt>
                <c:pt idx="4">
                  <c:v>Average of YoY% General index</c:v>
                </c:pt>
              </c:strCache>
            </c:strRef>
          </c:cat>
          <c:val>
            <c:numRef>
              <c:f>'Analysis 4'!$G$49:$G$53</c:f>
              <c:numCache>
                <c:formatCode>0.00%</c:formatCode>
                <c:ptCount val="5"/>
                <c:pt idx="0">
                  <c:v>6.9785682823578624E-2</c:v>
                </c:pt>
                <c:pt idx="1">
                  <c:v>2.2239684517956954E-2</c:v>
                </c:pt>
                <c:pt idx="2">
                  <c:v>4.7688243928811345E-2</c:v>
                </c:pt>
                <c:pt idx="3">
                  <c:v>9.3113499082305193E-2</c:v>
                </c:pt>
                <c:pt idx="4">
                  <c:v>5.8049354936368723E-2</c:v>
                </c:pt>
              </c:numCache>
            </c:numRef>
          </c:val>
          <c:extLst>
            <c:ext xmlns:c16="http://schemas.microsoft.com/office/drawing/2014/chart" uri="{C3380CC4-5D6E-409C-BE32-E72D297353CC}">
              <c16:uniqueId val="{00000002-B6AD-40A9-B476-972013C3CBC3}"/>
            </c:ext>
          </c:extLst>
        </c:ser>
        <c:dLbls>
          <c:showLegendKey val="0"/>
          <c:showVal val="0"/>
          <c:showCatName val="0"/>
          <c:showSerName val="0"/>
          <c:showPercent val="0"/>
          <c:showBubbleSize val="0"/>
        </c:dLbls>
        <c:gapWidth val="100"/>
        <c:overlap val="-24"/>
        <c:axId val="413648047"/>
        <c:axId val="413637967"/>
      </c:barChart>
      <c:catAx>
        <c:axId val="413648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637967"/>
        <c:crosses val="autoZero"/>
        <c:auto val="1"/>
        <c:lblAlgn val="ctr"/>
        <c:lblOffset val="100"/>
        <c:noMultiLvlLbl val="0"/>
      </c:catAx>
      <c:valAx>
        <c:axId val="413637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64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sng"/>
              <a:t>Correlation of CPI Categories with Imported Crude Oil Price Changes</a:t>
            </a:r>
            <a:endParaRPr lang="en-US" u="sng"/>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'Analysis 5'!$G$41</c:f>
              <c:strCache>
                <c:ptCount val="1"/>
                <c:pt idx="0">
                  <c:v>Correlation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 5'!$F$42:$F$68</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 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'Analysis 5'!$G$42:$G$68</c:f>
              <c:numCache>
                <c:formatCode>0.000</c:formatCode>
                <c:ptCount val="27"/>
                <c:pt idx="0">
                  <c:v>-0.28707255255551306</c:v>
                </c:pt>
                <c:pt idx="1">
                  <c:v>0.39718270883720203</c:v>
                </c:pt>
                <c:pt idx="2">
                  <c:v>-0.25825016620219282</c:v>
                </c:pt>
                <c:pt idx="3">
                  <c:v>-0.29469571344585282</c:v>
                </c:pt>
                <c:pt idx="4">
                  <c:v>0.44096532815962586</c:v>
                </c:pt>
                <c:pt idx="5">
                  <c:v>0.10047128620408963</c:v>
                </c:pt>
                <c:pt idx="6">
                  <c:v>-2.7408084174838556E-2</c:v>
                </c:pt>
                <c:pt idx="7">
                  <c:v>-0.21597194956597923</c:v>
                </c:pt>
                <c:pt idx="8">
                  <c:v>-0.21541297967146758</c:v>
                </c:pt>
                <c:pt idx="9">
                  <c:v>-0.17952811928347689</c:v>
                </c:pt>
                <c:pt idx="10">
                  <c:v>0.25331183745000951</c:v>
                </c:pt>
                <c:pt idx="11">
                  <c:v>0.10631761644174326</c:v>
                </c:pt>
                <c:pt idx="12">
                  <c:v>1.6913447847478245E-2</c:v>
                </c:pt>
                <c:pt idx="13">
                  <c:v>0.13197680613920279</c:v>
                </c:pt>
                <c:pt idx="14">
                  <c:v>7.0930195699487789E-2</c:v>
                </c:pt>
                <c:pt idx="15">
                  <c:v>0.15173608347382439</c:v>
                </c:pt>
                <c:pt idx="16">
                  <c:v>9.4503312242819479E-2</c:v>
                </c:pt>
                <c:pt idx="17">
                  <c:v>0.10186501816593618</c:v>
                </c:pt>
                <c:pt idx="18">
                  <c:v>0.21505687023102163</c:v>
                </c:pt>
                <c:pt idx="19">
                  <c:v>-5.5268502150690214E-2</c:v>
                </c:pt>
                <c:pt idx="20">
                  <c:v>4.6789319560001499E-2</c:v>
                </c:pt>
                <c:pt idx="21">
                  <c:v>0.20823006744674732</c:v>
                </c:pt>
                <c:pt idx="22">
                  <c:v>0.1397459541942731</c:v>
                </c:pt>
                <c:pt idx="23">
                  <c:v>-0.18400243211707532</c:v>
                </c:pt>
                <c:pt idx="24">
                  <c:v>-6.6524485639466391E-2</c:v>
                </c:pt>
                <c:pt idx="25">
                  <c:v>0.11637299331751344</c:v>
                </c:pt>
                <c:pt idx="26">
                  <c:v>5.5170989681073875E-2</c:v>
                </c:pt>
              </c:numCache>
            </c:numRef>
          </c:val>
          <c:extLst>
            <c:ext xmlns:c16="http://schemas.microsoft.com/office/drawing/2014/chart" uri="{C3380CC4-5D6E-409C-BE32-E72D297353CC}">
              <c16:uniqueId val="{00000000-519A-443D-9584-76A001AAD36F}"/>
            </c:ext>
          </c:extLst>
        </c:ser>
        <c:dLbls>
          <c:dLblPos val="inEnd"/>
          <c:showLegendKey val="0"/>
          <c:showVal val="1"/>
          <c:showCatName val="0"/>
          <c:showSerName val="0"/>
          <c:showPercent val="0"/>
          <c:showBubbleSize val="0"/>
        </c:dLbls>
        <c:gapWidth val="115"/>
        <c:overlap val="-20"/>
        <c:axId val="154653839"/>
        <c:axId val="154663199"/>
      </c:barChart>
      <c:catAx>
        <c:axId val="154653839"/>
        <c:scaling>
          <c:orientation val="minMax"/>
        </c:scaling>
        <c:delete val="0"/>
        <c:axPos val="l"/>
        <c:numFmt formatCode="General" sourceLinked="1"/>
        <c:majorTickMark val="none"/>
        <c:minorTickMark val="none"/>
        <c:tickLblPos val="low"/>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663199"/>
        <c:crosses val="autoZero"/>
        <c:auto val="1"/>
        <c:lblAlgn val="ctr"/>
        <c:lblOffset val="100"/>
        <c:tickLblSkip val="1"/>
        <c:noMultiLvlLbl val="0"/>
      </c:catAx>
      <c:valAx>
        <c:axId val="154663199"/>
        <c:scaling>
          <c:orientation val="minMax"/>
        </c:scaling>
        <c:delete val="0"/>
        <c:axPos val="b"/>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65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r>
              <a:rPr lang="en-IN" sz="1600" b="1" i="0" u="none" strike="noStrike" kern="1200" baseline="0">
                <a:solidFill>
                  <a:schemeClr val="bg1"/>
                </a:solidFill>
              </a:rPr>
              <a:t>Relationship Between Imported Crude Oil MoM Change and Oil and fats MoM change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txPr>
    </c:title>
    <c:autoTitleDeleted val="0"/>
    <c:plotArea>
      <c:layout/>
      <c:scatterChart>
        <c:scatterStyle val="lineMarker"/>
        <c:varyColors val="0"/>
        <c:ser>
          <c:idx val="0"/>
          <c:order val="0"/>
          <c:tx>
            <c:strRef>
              <c:f>'Analysis 5'!$Q$4</c:f>
              <c:strCache>
                <c:ptCount val="1"/>
                <c:pt idx="0">
                  <c:v>MoM% Oils and fats</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xVal>
            <c:numRef>
              <c:f>'Analysis 5'!$G$5:$G$34</c:f>
              <c:numCache>
                <c:formatCode>General</c:formatCode>
                <c:ptCount val="29"/>
                <c:pt idx="0">
                  <c:v>9.9400000000000002E-2</c:v>
                </c:pt>
                <c:pt idx="1">
                  <c:v>0.13020000000000001</c:v>
                </c:pt>
                <c:pt idx="2">
                  <c:v>0.06</c:v>
                </c:pt>
                <c:pt idx="3">
                  <c:v>-1.23E-2</c:v>
                </c:pt>
                <c:pt idx="4">
                  <c:v>4.0599999999999997E-2</c:v>
                </c:pt>
                <c:pt idx="5">
                  <c:v>8.2500000000000004E-2</c:v>
                </c:pt>
                <c:pt idx="6">
                  <c:v>2.23E-2</c:v>
                </c:pt>
                <c:pt idx="7">
                  <c:v>-5.3400000000000003E-2</c:v>
                </c:pt>
                <c:pt idx="8">
                  <c:v>5.8000000000000003E-2</c:v>
                </c:pt>
                <c:pt idx="9">
                  <c:v>0.13250000000000001</c:v>
                </c:pt>
                <c:pt idx="10">
                  <c:v>-2.6599999999999999E-2</c:v>
                </c:pt>
                <c:pt idx="11">
                  <c:v>-7.6700000000000004E-2</c:v>
                </c:pt>
                <c:pt idx="12">
                  <c:v>0.1489</c:v>
                </c:pt>
                <c:pt idx="13">
                  <c:v>9.8199999999999996E-2</c:v>
                </c:pt>
                <c:pt idx="14">
                  <c:v>0.19969999999999999</c:v>
                </c:pt>
                <c:pt idx="15">
                  <c:v>-4.0800000000000003E-2</c:v>
                </c:pt>
                <c:pt idx="16">
                  <c:v>7.8200000000000006E-2</c:v>
                </c:pt>
                <c:pt idx="17">
                  <c:v>4.6800000000000001E-2</c:v>
                </c:pt>
                <c:pt idx="18">
                  <c:v>-9.2100000000000001E-2</c:v>
                </c:pt>
                <c:pt idx="19">
                  <c:v>-6.4600000000000005E-2</c:v>
                </c:pt>
                <c:pt idx="20">
                  <c:v>-6.0199999999999997E-2</c:v>
                </c:pt>
                <c:pt idx="21">
                  <c:v>3.5499999999999997E-2</c:v>
                </c:pt>
                <c:pt idx="22">
                  <c:v>-6.1199999999999997E-2</c:v>
                </c:pt>
                <c:pt idx="23">
                  <c:v>-0.1142</c:v>
                </c:pt>
                <c:pt idx="24">
                  <c:v>2.3599999999999999E-2</c:v>
                </c:pt>
                <c:pt idx="25">
                  <c:v>-8.0000000000000004E-4</c:v>
                </c:pt>
                <c:pt idx="26">
                  <c:v>-4.3999999999999997E-2</c:v>
                </c:pt>
                <c:pt idx="27">
                  <c:v>5.6000000000000001E-2</c:v>
                </c:pt>
                <c:pt idx="28">
                  <c:v>-9.1899999999999996E-2</c:v>
                </c:pt>
              </c:numCache>
            </c:numRef>
          </c:xVal>
          <c:yVal>
            <c:numRef>
              <c:f>'Analysis 5'!$Q$5:$Q$34</c:f>
              <c:numCache>
                <c:formatCode>0.00%</c:formatCode>
                <c:ptCount val="29"/>
                <c:pt idx="0">
                  <c:v>2.9331514324693053E-2</c:v>
                </c:pt>
                <c:pt idx="1">
                  <c:v>5.1689860834990053E-2</c:v>
                </c:pt>
                <c:pt idx="2">
                  <c:v>3.2766225582860908E-2</c:v>
                </c:pt>
                <c:pt idx="3">
                  <c:v>3.782794386821231E-2</c:v>
                </c:pt>
                <c:pt idx="4">
                  <c:v>5.0558495002939408E-2</c:v>
                </c:pt>
                <c:pt idx="5">
                  <c:v>2.7979854504756485E-2</c:v>
                </c:pt>
                <c:pt idx="6">
                  <c:v>-8.7098530212302849E-3</c:v>
                </c:pt>
                <c:pt idx="7">
                  <c:v>3.2399780340472306E-2</c:v>
                </c:pt>
                <c:pt idx="8">
                  <c:v>0</c:v>
                </c:pt>
                <c:pt idx="9">
                  <c:v>1.382978723404249E-2</c:v>
                </c:pt>
                <c:pt idx="10">
                  <c:v>-2.6232948583421178E-3</c:v>
                </c:pt>
                <c:pt idx="11">
                  <c:v>-1.3150973172014746E-2</c:v>
                </c:pt>
                <c:pt idx="12">
                  <c:v>-1.545842217484017E-2</c:v>
                </c:pt>
                <c:pt idx="13">
                  <c:v>1.0828370330266957E-3</c:v>
                </c:pt>
                <c:pt idx="14">
                  <c:v>5.246078961600853E-2</c:v>
                </c:pt>
                <c:pt idx="15">
                  <c:v>2.5179856115107979E-2</c:v>
                </c:pt>
                <c:pt idx="16">
                  <c:v>1.4536340852130403E-2</c:v>
                </c:pt>
                <c:pt idx="17">
                  <c:v>-7.4110671936759021E-3</c:v>
                </c:pt>
                <c:pt idx="18">
                  <c:v>-2.5385764061722216E-2</c:v>
                </c:pt>
                <c:pt idx="19">
                  <c:v>-1.7364657814096018E-2</c:v>
                </c:pt>
                <c:pt idx="20">
                  <c:v>-1.9230769230769273E-2</c:v>
                </c:pt>
                <c:pt idx="21">
                  <c:v>-1.1658717541070396E-2</c:v>
                </c:pt>
                <c:pt idx="22">
                  <c:v>1.2868632707774719E-2</c:v>
                </c:pt>
                <c:pt idx="23">
                  <c:v>-2.1175224986765828E-3</c:v>
                </c:pt>
                <c:pt idx="24">
                  <c:v>-6.8965517241379448E-3</c:v>
                </c:pt>
                <c:pt idx="25">
                  <c:v>-4.2200854700854551E-2</c:v>
                </c:pt>
                <c:pt idx="26">
                  <c:v>-5.5772448410496001E-4</c:v>
                </c:pt>
                <c:pt idx="27">
                  <c:v>-2.3995535714285587E-2</c:v>
                </c:pt>
                <c:pt idx="28">
                  <c:v>-2.8016009148084664E-2</c:v>
                </c:pt>
              </c:numCache>
            </c:numRef>
          </c:yVal>
          <c:smooth val="0"/>
          <c:extLst>
            <c:ext xmlns:c16="http://schemas.microsoft.com/office/drawing/2014/chart" uri="{C3380CC4-5D6E-409C-BE32-E72D297353CC}">
              <c16:uniqueId val="{00000000-D414-4DD5-8D36-55E07555AC00}"/>
            </c:ext>
          </c:extLst>
        </c:ser>
        <c:dLbls>
          <c:showLegendKey val="0"/>
          <c:showVal val="0"/>
          <c:showCatName val="0"/>
          <c:showSerName val="0"/>
          <c:showPercent val="0"/>
          <c:showBubbleSize val="0"/>
        </c:dLbls>
        <c:axId val="433802207"/>
        <c:axId val="428995887"/>
      </c:scatterChart>
      <c:valAx>
        <c:axId val="433802207"/>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MoM% Imported oil</a:t>
                </a:r>
              </a:p>
            </c:rich>
          </c:tx>
          <c:layout>
            <c:manualLayout>
              <c:xMode val="edge"/>
              <c:yMode val="edge"/>
              <c:x val="0.43873947079289505"/>
              <c:y val="0.9554453270433707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28995887"/>
        <c:crosses val="autoZero"/>
        <c:crossBetween val="midCat"/>
      </c:valAx>
      <c:valAx>
        <c:axId val="428995887"/>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MoM% Oils and fats</a:t>
                </a:r>
              </a:p>
            </c:rich>
          </c:tx>
          <c:layout>
            <c:manualLayout>
              <c:xMode val="edge"/>
              <c:yMode val="edge"/>
              <c:x val="8.0749354005167952E-3"/>
              <c:y val="0.4487273617229563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338022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15240</xdr:colOff>
      <xdr:row>3</xdr:row>
      <xdr:rowOff>30480</xdr:rowOff>
    </xdr:from>
    <xdr:to>
      <xdr:col>14</xdr:col>
      <xdr:colOff>198120</xdr:colOff>
      <xdr:row>36</xdr:row>
      <xdr:rowOff>121920</xdr:rowOff>
    </xdr:to>
    <xdr:graphicFrame macro="">
      <xdr:nvGraphicFramePr>
        <xdr:cNvPr id="3" name="Chart 2">
          <a:extLst>
            <a:ext uri="{FF2B5EF4-FFF2-40B4-BE49-F238E27FC236}">
              <a16:creationId xmlns:a16="http://schemas.microsoft.com/office/drawing/2014/main" id="{3B6E7987-744F-F8E9-31C4-055D0C422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381000</xdr:colOff>
      <xdr:row>3</xdr:row>
      <xdr:rowOff>91441</xdr:rowOff>
    </xdr:from>
    <xdr:to>
      <xdr:col>7</xdr:col>
      <xdr:colOff>655320</xdr:colOff>
      <xdr:row>27</xdr:row>
      <xdr:rowOff>1</xdr:rowOff>
    </xdr:to>
    <mc:AlternateContent xmlns:mc="http://schemas.openxmlformats.org/markup-compatibility/2006" xmlns:sle15="http://schemas.microsoft.com/office/drawing/2012/slicer">
      <mc:Choice Requires="sle15">
        <xdr:graphicFrame macro="">
          <xdr:nvGraphicFramePr>
            <xdr:cNvPr id="4" name="Sector">
              <a:extLst>
                <a:ext uri="{FF2B5EF4-FFF2-40B4-BE49-F238E27FC236}">
                  <a16:creationId xmlns:a16="http://schemas.microsoft.com/office/drawing/2014/main" id="{3A211131-A3DC-3EA4-4095-FFF0A188D407}"/>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5646420" y="64008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0</xdr:col>
      <xdr:colOff>0</xdr:colOff>
      <xdr:row>0</xdr:row>
      <xdr:rowOff>7620</xdr:rowOff>
    </xdr:from>
    <xdr:ext cx="14432280" cy="541020"/>
    <xdr:sp macro="" textlink="">
      <xdr:nvSpPr>
        <xdr:cNvPr id="2" name="TextBox 1">
          <a:extLst>
            <a:ext uri="{FF2B5EF4-FFF2-40B4-BE49-F238E27FC236}">
              <a16:creationId xmlns:a16="http://schemas.microsoft.com/office/drawing/2014/main" id="{B6F0F5D5-65D8-425E-2F47-4DE2B17BAFFF}"/>
            </a:ext>
          </a:extLst>
        </xdr:cNvPr>
        <xdr:cNvSpPr txBox="1"/>
      </xdr:nvSpPr>
      <xdr:spPr>
        <a:xfrm>
          <a:off x="0" y="7620"/>
          <a:ext cx="14432280" cy="541020"/>
        </a:xfrm>
        <a:prstGeom prst="rect">
          <a:avLst/>
        </a:prstGeom>
        <a:solidFill>
          <a:schemeClr val="tx2">
            <a:lumMod val="90000"/>
            <a:lumOff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u="sng">
              <a:solidFill>
                <a:schemeClr val="bg1"/>
              </a:solidFill>
              <a:effectLst/>
              <a:latin typeface="+mn-lt"/>
              <a:ea typeface="+mn-ea"/>
              <a:cs typeface="+mn-cs"/>
            </a:rPr>
            <a:t>From the latest month, the contribution of different broader categories towards the CPI basket</a:t>
          </a:r>
          <a:endParaRPr lang="en-IN" sz="2400" b="1">
            <a:solidFill>
              <a:schemeClr val="bg1"/>
            </a:solidFill>
            <a:effectLst/>
          </a:endParaRPr>
        </a:p>
        <a:p>
          <a:endParaRPr lang="en-IN" sz="1100"/>
        </a:p>
      </xdr:txBody>
    </xdr:sp>
    <xdr:clientData/>
  </xdr:oneCellAnchor>
  <xdr:oneCellAnchor>
    <xdr:from>
      <xdr:col>0</xdr:col>
      <xdr:colOff>68580</xdr:colOff>
      <xdr:row>37</xdr:row>
      <xdr:rowOff>114300</xdr:rowOff>
    </xdr:from>
    <xdr:ext cx="6888480" cy="3009900"/>
    <xdr:sp macro="" textlink="">
      <xdr:nvSpPr>
        <xdr:cNvPr id="5" name="TextBox 4">
          <a:extLst>
            <a:ext uri="{FF2B5EF4-FFF2-40B4-BE49-F238E27FC236}">
              <a16:creationId xmlns:a16="http://schemas.microsoft.com/office/drawing/2014/main" id="{2A44B024-2915-E367-B5BD-A804048D9358}"/>
            </a:ext>
          </a:extLst>
        </xdr:cNvPr>
        <xdr:cNvSpPr txBox="1"/>
      </xdr:nvSpPr>
      <xdr:spPr>
        <a:xfrm>
          <a:off x="68580" y="3954780"/>
          <a:ext cx="6888480" cy="3009900"/>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tx1"/>
              </a:solidFill>
              <a:effectLst/>
              <a:latin typeface="+mn-lt"/>
              <a:ea typeface="+mn-ea"/>
              <a:cs typeface="+mn-cs"/>
            </a:rPr>
            <a:t>Findings:</a:t>
          </a:r>
          <a:br>
            <a:rPr lang="en-IN" sz="1400">
              <a:solidFill>
                <a:schemeClr val="tx1"/>
              </a:solidFill>
              <a:effectLst/>
              <a:latin typeface="+mn-lt"/>
              <a:ea typeface="+mn-ea"/>
              <a:cs typeface="+mn-cs"/>
            </a:rPr>
          </a:br>
          <a:r>
            <a:rPr lang="en-IN" sz="1400">
              <a:solidFill>
                <a:schemeClr val="tx1"/>
              </a:solidFill>
              <a:effectLst/>
              <a:latin typeface="+mn-lt"/>
              <a:ea typeface="+mn-ea"/>
              <a:cs typeface="+mn-cs"/>
            </a:rPr>
            <a:t>*</a:t>
          </a:r>
          <a:r>
            <a:rPr lang="en-IN" sz="1400" b="1">
              <a:solidFill>
                <a:schemeClr val="tx1"/>
              </a:solidFill>
              <a:effectLst/>
              <a:latin typeface="+mn-lt"/>
              <a:ea typeface="+mn-ea"/>
              <a:cs typeface="+mn-cs"/>
            </a:rPr>
            <a:t>Pan, Tobacco and Intoxicants is the highest relative contributor across all three sectors.</a:t>
          </a:r>
          <a:endParaRPr lang="en-IN" sz="1400">
            <a:effectLst/>
          </a:endParaRPr>
        </a:p>
        <a:p>
          <a:r>
            <a:rPr lang="en-IN" sz="1400">
              <a:solidFill>
                <a:schemeClr val="tx1"/>
              </a:solidFill>
              <a:effectLst/>
              <a:latin typeface="+mn-lt"/>
              <a:ea typeface="+mn-ea"/>
              <a:cs typeface="+mn-cs"/>
            </a:rPr>
            <a:t>Its relative contribution is:</a:t>
          </a:r>
          <a:endParaRPr lang="en-IN" sz="1400">
            <a:effectLst/>
          </a:endParaRPr>
        </a:p>
        <a:p>
          <a:r>
            <a:rPr lang="en-IN" sz="1400">
              <a:solidFill>
                <a:schemeClr val="tx1"/>
              </a:solidFill>
              <a:effectLst/>
              <a:latin typeface="+mn-lt"/>
              <a:ea typeface="+mn-ea"/>
              <a:cs typeface="+mn-cs"/>
            </a:rPr>
            <a:t>Rural → </a:t>
          </a:r>
          <a:r>
            <a:rPr lang="en-IN" sz="1400" b="1">
              <a:solidFill>
                <a:schemeClr val="tx1"/>
              </a:solidFill>
              <a:effectLst/>
              <a:latin typeface="+mn-lt"/>
              <a:ea typeface="+mn-ea"/>
              <a:cs typeface="+mn-cs"/>
            </a:rPr>
            <a:t>13.60%</a:t>
          </a:r>
          <a:endParaRPr lang="en-IN" sz="1400">
            <a:effectLst/>
          </a:endParaRPr>
        </a:p>
        <a:p>
          <a:r>
            <a:rPr lang="en-IN" sz="1400">
              <a:solidFill>
                <a:schemeClr val="tx1"/>
              </a:solidFill>
              <a:effectLst/>
              <a:latin typeface="+mn-lt"/>
              <a:ea typeface="+mn-ea"/>
              <a:cs typeface="+mn-cs"/>
            </a:rPr>
            <a:t>Urban → </a:t>
          </a:r>
          <a:r>
            <a:rPr lang="en-IN" sz="1400" b="1">
              <a:solidFill>
                <a:schemeClr val="tx1"/>
              </a:solidFill>
              <a:effectLst/>
              <a:latin typeface="+mn-lt"/>
              <a:ea typeface="+mn-ea"/>
              <a:cs typeface="+mn-cs"/>
            </a:rPr>
            <a:t>14.18%</a:t>
          </a:r>
          <a:endParaRPr lang="en-IN" sz="1400">
            <a:effectLst/>
          </a:endParaRPr>
        </a:p>
        <a:p>
          <a:r>
            <a:rPr lang="en-IN" sz="1400">
              <a:solidFill>
                <a:schemeClr val="tx1"/>
              </a:solidFill>
              <a:effectLst/>
              <a:latin typeface="+mn-lt"/>
              <a:ea typeface="+mn-ea"/>
              <a:cs typeface="+mn-cs"/>
            </a:rPr>
            <a:t>Rural+Urban → </a:t>
          </a:r>
          <a:r>
            <a:rPr lang="en-IN" sz="1400" b="1">
              <a:solidFill>
                <a:schemeClr val="tx1"/>
              </a:solidFill>
              <a:effectLst/>
              <a:latin typeface="+mn-lt"/>
              <a:ea typeface="+mn-ea"/>
              <a:cs typeface="+mn-cs"/>
            </a:rPr>
            <a:t>13.82%</a:t>
          </a:r>
          <a:endParaRPr lang="en-IN" sz="1400">
            <a:effectLst/>
          </a:endParaRPr>
        </a:p>
        <a:p>
          <a:r>
            <a:rPr lang="en-IN" sz="1400" b="1">
              <a:solidFill>
                <a:schemeClr val="tx1"/>
              </a:solidFill>
              <a:effectLst/>
              <a:latin typeface="+mn-lt"/>
              <a:ea typeface="+mn-ea"/>
              <a:cs typeface="+mn-cs"/>
            </a:rPr>
            <a:t>*Urban has the highest contribution</a:t>
          </a:r>
          <a:r>
            <a:rPr lang="en-IN" sz="1400">
              <a:solidFill>
                <a:schemeClr val="tx1"/>
              </a:solidFill>
              <a:effectLst/>
              <a:latin typeface="+mn-lt"/>
              <a:ea typeface="+mn-ea"/>
              <a:cs typeface="+mn-cs"/>
            </a:rPr>
            <a:t>, at 14.18%.</a:t>
          </a:r>
          <a:endParaRPr lang="en-IN" sz="1400">
            <a:effectLst/>
          </a:endParaRPr>
        </a:p>
        <a:p>
          <a:r>
            <a:rPr lang="en-IN" sz="1400" b="1">
              <a:solidFill>
                <a:schemeClr val="tx1"/>
              </a:solidFill>
              <a:effectLst/>
              <a:latin typeface="+mn-lt"/>
              <a:ea typeface="+mn-ea"/>
              <a:cs typeface="+mn-cs"/>
            </a:rPr>
            <a:t>*</a:t>
          </a:r>
          <a:r>
            <a:rPr lang="en-IN" sz="1400">
              <a:solidFill>
                <a:schemeClr val="tx1"/>
              </a:solidFill>
              <a:effectLst/>
              <a:latin typeface="+mn-lt"/>
              <a:ea typeface="+mn-ea"/>
              <a:cs typeface="+mn-cs"/>
            </a:rPr>
            <a:t>The </a:t>
          </a:r>
          <a:r>
            <a:rPr lang="en-IN" sz="1400" b="1">
              <a:solidFill>
                <a:schemeClr val="tx1"/>
              </a:solidFill>
              <a:effectLst/>
              <a:latin typeface="+mn-lt"/>
              <a:ea typeface="+mn-ea"/>
              <a:cs typeface="+mn-cs"/>
            </a:rPr>
            <a:t>Rural+Urban contribution is 13.82%</a:t>
          </a:r>
          <a:r>
            <a:rPr lang="en-IN" sz="1400">
              <a:solidFill>
                <a:schemeClr val="tx1"/>
              </a:solidFill>
              <a:effectLst/>
              <a:latin typeface="+mn-lt"/>
              <a:ea typeface="+mn-ea"/>
              <a:cs typeface="+mn-cs"/>
            </a:rPr>
            <a:t>, which makes Pan, Tobacco and Intoxicants the          highest category in the combined sector.</a:t>
          </a:r>
          <a:endParaRPr lang="en-IN" sz="1400">
            <a:effectLst/>
          </a:endParaRPr>
        </a:p>
        <a:p>
          <a:r>
            <a:rPr lang="en-IN" sz="1400" b="1">
              <a:solidFill>
                <a:schemeClr val="tx1"/>
              </a:solidFill>
              <a:effectLst/>
              <a:latin typeface="+mn-lt"/>
              <a:ea typeface="+mn-ea"/>
              <a:cs typeface="+mn-cs"/>
            </a:rPr>
            <a:t>*</a:t>
          </a:r>
          <a:r>
            <a:rPr lang="en-IN" sz="1400">
              <a:solidFill>
                <a:schemeClr val="tx1"/>
              </a:solidFill>
              <a:effectLst/>
              <a:latin typeface="+mn-lt"/>
              <a:ea typeface="+mn-ea"/>
              <a:cs typeface="+mn-cs"/>
            </a:rPr>
            <a:t>The difference between Rural and Urban is relatively small, at </a:t>
          </a:r>
          <a:r>
            <a:rPr lang="en-IN" sz="1400" b="1">
              <a:solidFill>
                <a:schemeClr val="tx1"/>
              </a:solidFill>
              <a:effectLst/>
              <a:latin typeface="+mn-lt"/>
              <a:ea typeface="+mn-ea"/>
              <a:cs typeface="+mn-cs"/>
            </a:rPr>
            <a:t>0.58 percentage points</a:t>
          </a:r>
          <a:r>
            <a:rPr lang="en-IN" sz="1400">
              <a:solidFill>
                <a:schemeClr val="tx1"/>
              </a:solidFill>
              <a:effectLst/>
              <a:latin typeface="+mn-lt"/>
              <a:ea typeface="+mn-ea"/>
              <a:cs typeface="+mn-cs"/>
            </a:rPr>
            <a:t>, indicating that the category's relative contribution is fairly consistent across the two sectors.</a:t>
          </a:r>
          <a:endParaRPr lang="en-IN" sz="1400">
            <a:effectLst/>
          </a:endParaRPr>
        </a:p>
        <a:p>
          <a:r>
            <a:rPr lang="en-IN" sz="1400" b="1">
              <a:solidFill>
                <a:schemeClr val="tx1"/>
              </a:solidFill>
              <a:effectLst/>
              <a:latin typeface="+mn-lt"/>
              <a:ea typeface="+mn-ea"/>
              <a:cs typeface="+mn-cs"/>
            </a:rPr>
            <a:t>*</a:t>
          </a:r>
          <a:r>
            <a:rPr lang="en-IN" sz="1400">
              <a:solidFill>
                <a:schemeClr val="tx1"/>
              </a:solidFill>
              <a:effectLst/>
              <a:latin typeface="+mn-lt"/>
              <a:ea typeface="+mn-ea"/>
              <a:cs typeface="+mn-cs"/>
            </a:rPr>
            <a:t>The remaining categories have contributions generally close to the 11–13% range, indicating a relatively balanced distribution among the selected categories.</a:t>
          </a:r>
          <a:endParaRPr lang="en-IN" sz="1400">
            <a:effectLst/>
          </a:endParaRPr>
        </a:p>
        <a:p>
          <a:endParaRPr lang="en-IN" sz="1100"/>
        </a:p>
      </xdr:txBody>
    </xdr:sp>
    <xdr:clientData/>
  </xdr:oneCellAnchor>
  <xdr:oneCellAnchor>
    <xdr:from>
      <xdr:col>0</xdr:col>
      <xdr:colOff>0</xdr:colOff>
      <xdr:row>30</xdr:row>
      <xdr:rowOff>15240</xdr:rowOff>
    </xdr:from>
    <xdr:ext cx="6918960" cy="1188146"/>
    <xdr:sp macro="" textlink="">
      <xdr:nvSpPr>
        <xdr:cNvPr id="6" name="TextBox 5">
          <a:extLst>
            <a:ext uri="{FF2B5EF4-FFF2-40B4-BE49-F238E27FC236}">
              <a16:creationId xmlns:a16="http://schemas.microsoft.com/office/drawing/2014/main" id="{C3FAF936-EDD5-74B9-CA45-59BD7F58EA57}"/>
            </a:ext>
          </a:extLst>
        </xdr:cNvPr>
        <xdr:cNvSpPr txBox="1"/>
      </xdr:nvSpPr>
      <xdr:spPr>
        <a:xfrm>
          <a:off x="0" y="2575560"/>
          <a:ext cx="6918960" cy="1188146"/>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effectLst/>
              <a:latin typeface="+mn-lt"/>
              <a:ea typeface="+mn-ea"/>
              <a:cs typeface="+mn-cs"/>
            </a:rPr>
            <a:t>Note:</a:t>
          </a:r>
          <a:endParaRPr lang="en-IN" sz="1400">
            <a:effectLst/>
          </a:endParaRPr>
        </a:p>
        <a:p>
          <a:r>
            <a:rPr lang="en-IN" sz="1400">
              <a:solidFill>
                <a:schemeClr val="tx1"/>
              </a:solidFill>
              <a:effectLst/>
              <a:latin typeface="+mn-lt"/>
              <a:ea typeface="+mn-ea"/>
              <a:cs typeface="+mn-cs"/>
            </a:rPr>
            <a:t>The </a:t>
          </a:r>
          <a:r>
            <a:rPr lang="en-IN" sz="1400" b="1">
              <a:solidFill>
                <a:schemeClr val="tx1"/>
              </a:solidFill>
              <a:effectLst/>
              <a:latin typeface="+mn-lt"/>
              <a:ea typeface="+mn-ea"/>
              <a:cs typeface="+mn-cs"/>
            </a:rPr>
            <a:t>contribution percentages </a:t>
          </a:r>
          <a:r>
            <a:rPr lang="en-IN" sz="1400">
              <a:solidFill>
                <a:schemeClr val="tx1"/>
              </a:solidFill>
              <a:effectLst/>
              <a:latin typeface="+mn-lt"/>
              <a:ea typeface="+mn-ea"/>
              <a:cs typeface="+mn-cs"/>
            </a:rPr>
            <a:t>represent the relative share of each selected category's underlying CPI index value in the total index values used for this analysis. They should not be interpreted as official CPI expenditure weights or official percentage-point contributions to inflation.</a:t>
          </a:r>
          <a:endParaRPr lang="en-IN" sz="1400"/>
        </a:p>
      </xdr:txBody>
    </xdr:sp>
    <xdr:clientData/>
  </xdr:oneCellAnchor>
  <xdr:oneCellAnchor>
    <xdr:from>
      <xdr:col>8</xdr:col>
      <xdr:colOff>7620</xdr:colOff>
      <xdr:row>38</xdr:row>
      <xdr:rowOff>106680</xdr:rowOff>
    </xdr:from>
    <xdr:ext cx="5768340" cy="2979420"/>
    <xdr:sp macro="" textlink="">
      <xdr:nvSpPr>
        <xdr:cNvPr id="7" name="TextBox 6">
          <a:extLst>
            <a:ext uri="{FF2B5EF4-FFF2-40B4-BE49-F238E27FC236}">
              <a16:creationId xmlns:a16="http://schemas.microsoft.com/office/drawing/2014/main" id="{6AD20ECF-03C8-56FA-0F06-287B4C503CE7}"/>
            </a:ext>
          </a:extLst>
        </xdr:cNvPr>
        <xdr:cNvSpPr txBox="1"/>
      </xdr:nvSpPr>
      <xdr:spPr>
        <a:xfrm>
          <a:off x="7566660" y="4130040"/>
          <a:ext cx="5768340" cy="2979420"/>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tx1"/>
              </a:solidFill>
              <a:effectLst/>
              <a:latin typeface="+mn-lt"/>
              <a:ea typeface="+mn-ea"/>
              <a:cs typeface="+mn-cs"/>
            </a:rPr>
            <a:t>Methodology:</a:t>
          </a:r>
          <a:endParaRPr lang="en-IN" sz="1400">
            <a:effectLst/>
          </a:endParaRPr>
        </a:p>
        <a:p>
          <a:r>
            <a:rPr lang="en-IN" sz="1400" b="0">
              <a:solidFill>
                <a:schemeClr val="tx1"/>
              </a:solidFill>
              <a:effectLst/>
              <a:latin typeface="+mn-lt"/>
              <a:ea typeface="+mn-ea"/>
              <a:cs typeface="+mn-cs"/>
            </a:rPr>
            <a:t>The analysis was performed using the Rural+Urban sector for May 2023, representing the latest month considered in the analysis. Similar CPI components were grouped into broader categories. The existing </a:t>
          </a:r>
          <a:r>
            <a:rPr lang="en-IN" sz="1400" b="1">
              <a:solidFill>
                <a:schemeClr val="tx1"/>
              </a:solidFill>
              <a:effectLst/>
              <a:latin typeface="+mn-lt"/>
              <a:ea typeface="+mn-ea"/>
              <a:cs typeface="+mn-cs"/>
            </a:rPr>
            <a:t>Food and Beverages,</a:t>
          </a:r>
          <a:r>
            <a:rPr lang="en-IN" sz="1400" b="1" baseline="0">
              <a:solidFill>
                <a:schemeClr val="tx1"/>
              </a:solidFill>
              <a:effectLst/>
              <a:latin typeface="+mn-lt"/>
              <a:ea typeface="+mn-ea"/>
              <a:cs typeface="+mn-cs"/>
            </a:rPr>
            <a:t> </a:t>
          </a:r>
          <a:r>
            <a:rPr lang="en-IN" sz="1400" b="1">
              <a:solidFill>
                <a:schemeClr val="tx1"/>
              </a:solidFill>
              <a:effectLst/>
              <a:latin typeface="+mn-lt"/>
              <a:ea typeface="+mn-ea"/>
              <a:cs typeface="+mn-cs"/>
            </a:rPr>
            <a:t>Clothing and Footwear, and Household Goods and Services </a:t>
          </a:r>
          <a:r>
            <a:rPr lang="en-IN" sz="1400" b="0">
              <a:solidFill>
                <a:schemeClr val="tx1"/>
              </a:solidFill>
              <a:effectLst/>
              <a:latin typeface="+mn-lt"/>
              <a:ea typeface="+mn-ea"/>
              <a:cs typeface="+mn-cs"/>
            </a:rPr>
            <a:t>category was retained as a broad category, while other major categories such as </a:t>
          </a:r>
          <a:r>
            <a:rPr lang="en-IN" sz="1400" b="1">
              <a:solidFill>
                <a:schemeClr val="tx1"/>
              </a:solidFill>
              <a:effectLst/>
              <a:latin typeface="+mn-lt"/>
              <a:ea typeface="+mn-ea"/>
              <a:cs typeface="+mn-cs"/>
            </a:rPr>
            <a:t>Pan, Tobacco and Intoxicants, Health, Transport and Communication, Education, and Personal Care and Effects</a:t>
          </a:r>
          <a:r>
            <a:rPr lang="en-IN" sz="1400" b="0">
              <a:solidFill>
                <a:schemeClr val="tx1"/>
              </a:solidFill>
              <a:effectLst/>
              <a:latin typeface="+mn-lt"/>
              <a:ea typeface="+mn-ea"/>
              <a:cs typeface="+mn-cs"/>
            </a:rPr>
            <a:t> were considered separately.</a:t>
          </a:r>
          <a:endParaRPr lang="en-IN" sz="1400">
            <a:effectLst/>
          </a:endParaRPr>
        </a:p>
        <a:p>
          <a:r>
            <a:rPr lang="en-IN" sz="1400" b="0">
              <a:solidFill>
                <a:schemeClr val="tx1"/>
              </a:solidFill>
              <a:effectLst/>
              <a:latin typeface="+mn-lt"/>
              <a:ea typeface="+mn-ea"/>
              <a:cs typeface="+mn-cs"/>
            </a:rPr>
            <a:t>The contribution of each broad category was calculated using its underlying CPI index value relative to the sum of the CPI index values of all selected broad categories.</a:t>
          </a:r>
          <a:endParaRPr lang="en-IN" sz="1400">
            <a:effectLst/>
          </a:endParaRPr>
        </a:p>
        <a:p>
          <a:r>
            <a:rPr lang="en-IN" sz="1400" b="1">
              <a:solidFill>
                <a:schemeClr val="tx1"/>
              </a:solidFill>
              <a:effectLst/>
              <a:latin typeface="+mn-lt"/>
              <a:ea typeface="+mn-ea"/>
              <a:cs typeface="+mn-cs"/>
            </a:rPr>
            <a:t>Contribution % = (Category CPI Index / Sum of CPI Index of all selected broad categories) × 100</a:t>
          </a:r>
          <a:endParaRPr lang="en-IN" sz="1400">
            <a:effectLst/>
          </a:endParaRPr>
        </a:p>
        <a:p>
          <a:endParaRPr lang="en-IN" sz="1100"/>
        </a:p>
      </xdr:txBody>
    </xdr:sp>
    <xdr:clientData/>
  </xdr:oneCellAnchor>
  <xdr:oneCellAnchor>
    <xdr:from>
      <xdr:col>0</xdr:col>
      <xdr:colOff>411480</xdr:colOff>
      <xdr:row>57</xdr:row>
      <xdr:rowOff>7620</xdr:rowOff>
    </xdr:from>
    <xdr:ext cx="12512040" cy="1782796"/>
    <xdr:sp macro="" textlink="">
      <xdr:nvSpPr>
        <xdr:cNvPr id="8" name="TextBox 7">
          <a:extLst>
            <a:ext uri="{FF2B5EF4-FFF2-40B4-BE49-F238E27FC236}">
              <a16:creationId xmlns:a16="http://schemas.microsoft.com/office/drawing/2014/main" id="{BF152B0C-C248-B1E9-A72F-3AB83AC689A2}"/>
            </a:ext>
          </a:extLst>
        </xdr:cNvPr>
        <xdr:cNvSpPr txBox="1"/>
      </xdr:nvSpPr>
      <xdr:spPr>
        <a:xfrm>
          <a:off x="411480" y="7505700"/>
          <a:ext cx="12512040" cy="1782796"/>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solidFill>
                <a:schemeClr val="tx1"/>
              </a:solidFill>
              <a:effectLst/>
              <a:latin typeface="+mn-lt"/>
              <a:ea typeface="+mn-ea"/>
              <a:cs typeface="+mn-cs"/>
            </a:rPr>
            <a:t>Conclusion:</a:t>
          </a:r>
          <a:endParaRPr lang="en-IN" sz="1800">
            <a:effectLst/>
          </a:endParaRPr>
        </a:p>
        <a:p>
          <a:r>
            <a:rPr lang="en-IN" sz="1800">
              <a:solidFill>
                <a:schemeClr val="tx1"/>
              </a:solidFill>
              <a:effectLst/>
              <a:latin typeface="+mn-lt"/>
              <a:ea typeface="+mn-ea"/>
              <a:cs typeface="+mn-cs"/>
            </a:rPr>
            <a:t>The analysis shows that Pan, Tobacco and Intoxicants has the highest relative contribution among the selected broad CPI categories across Rural, Urban, and Rural+Urban sectors. Its contribution is highest in the Urban sector at 14.18%, followed by Rural+Urban at 13.82% and Rural at 13.60%. The consistent ranking across all three sectors indicates that this category has the highest relative CPI index value among the categories included in the analysis. However, the differences between the categories are relatively small, suggesting that the contribution is broadly distributed across the selected CPI categories</a:t>
          </a:r>
          <a:endParaRPr lang="en-IN" sz="18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4470380" cy="548640"/>
    <xdr:sp macro="" textlink="">
      <xdr:nvSpPr>
        <xdr:cNvPr id="2" name="TextBox 1">
          <a:extLst>
            <a:ext uri="{FF2B5EF4-FFF2-40B4-BE49-F238E27FC236}">
              <a16:creationId xmlns:a16="http://schemas.microsoft.com/office/drawing/2014/main" id="{9678B54E-1EC6-629F-0B1A-F6F737D92142}"/>
            </a:ext>
          </a:extLst>
        </xdr:cNvPr>
        <xdr:cNvSpPr txBox="1"/>
      </xdr:nvSpPr>
      <xdr:spPr>
        <a:xfrm>
          <a:off x="0" y="0"/>
          <a:ext cx="14470380" cy="548640"/>
        </a:xfrm>
        <a:prstGeom prst="rect">
          <a:avLst/>
        </a:prstGeom>
        <a:solidFill>
          <a:schemeClr val="tx2">
            <a:lumMod val="90000"/>
            <a:lumOff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u="sng">
              <a:solidFill>
                <a:schemeClr val="bg1"/>
              </a:solidFill>
              <a:effectLst/>
              <a:latin typeface="+mn-lt"/>
              <a:ea typeface="+mn-ea"/>
              <a:cs typeface="+mn-cs"/>
            </a:rPr>
            <a:t>Year-over-Year CPI Inflation Trend</a:t>
          </a:r>
          <a:r>
            <a:rPr lang="en-IN" sz="2800" b="1" u="sng" baseline="0">
              <a:solidFill>
                <a:schemeClr val="bg1"/>
              </a:solidFill>
              <a:effectLst/>
              <a:latin typeface="+mn-lt"/>
              <a:ea typeface="+mn-ea"/>
              <a:cs typeface="+mn-cs"/>
            </a:rPr>
            <a:t> - Rural + Urban</a:t>
          </a:r>
          <a:endParaRPr lang="en-IN" sz="2800">
            <a:solidFill>
              <a:schemeClr val="bg1"/>
            </a:solidFill>
            <a:effectLst/>
          </a:endParaRPr>
        </a:p>
        <a:p>
          <a:endParaRPr lang="en-IN" sz="1100"/>
        </a:p>
      </xdr:txBody>
    </xdr:sp>
    <xdr:clientData/>
  </xdr:oneCellAnchor>
  <xdr:oneCellAnchor>
    <xdr:from>
      <xdr:col>0</xdr:col>
      <xdr:colOff>91440</xdr:colOff>
      <xdr:row>20</xdr:row>
      <xdr:rowOff>175260</xdr:rowOff>
    </xdr:from>
    <xdr:ext cx="5303520" cy="4198620"/>
    <xdr:sp macro="" textlink="">
      <xdr:nvSpPr>
        <xdr:cNvPr id="3" name="TextBox 2">
          <a:extLst>
            <a:ext uri="{FF2B5EF4-FFF2-40B4-BE49-F238E27FC236}">
              <a16:creationId xmlns:a16="http://schemas.microsoft.com/office/drawing/2014/main" id="{7FDC8CBB-DE6C-888F-4B56-7253AB95804E}"/>
            </a:ext>
          </a:extLst>
        </xdr:cNvPr>
        <xdr:cNvSpPr txBox="1"/>
      </xdr:nvSpPr>
      <xdr:spPr>
        <a:xfrm>
          <a:off x="91440" y="3832860"/>
          <a:ext cx="5303520" cy="4198620"/>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tx1"/>
              </a:solidFill>
              <a:effectLst/>
              <a:latin typeface="+mn-lt"/>
              <a:ea typeface="+mn-ea"/>
              <a:cs typeface="+mn-cs"/>
            </a:rPr>
            <a:t>Methodology:</a:t>
          </a:r>
          <a:r>
            <a:rPr lang="en-IN" sz="1400">
              <a:solidFill>
                <a:schemeClr val="tx1"/>
              </a:solidFill>
              <a:effectLst/>
              <a:latin typeface="+mn-lt"/>
              <a:ea typeface="+mn-ea"/>
              <a:cs typeface="+mn-cs"/>
            </a:rPr>
            <a:t> </a:t>
          </a:r>
          <a:endParaRPr lang="en-IN" sz="1400">
            <a:effectLst/>
          </a:endParaRPr>
        </a:p>
        <a:p>
          <a:r>
            <a:rPr lang="en-IN" sz="1400">
              <a:solidFill>
                <a:schemeClr val="tx1"/>
              </a:solidFill>
              <a:effectLst/>
              <a:latin typeface="+mn-lt"/>
              <a:ea typeface="+mn-ea"/>
              <a:cs typeface="+mn-cs"/>
            </a:rPr>
            <a:t>The analysis uses the Rural+Urban General CPI Index to examine the annual inflation trend from 2017 to 2022. The data was first cleaned and filtered to retain the Rural+Urban sector and the required analysis period. The missing April 2019 General Index value was estimated using </a:t>
          </a:r>
          <a:r>
            <a:rPr lang="en-IN" sz="1400" b="1">
              <a:solidFill>
                <a:schemeClr val="tx1"/>
              </a:solidFill>
              <a:effectLst/>
              <a:latin typeface="+mn-lt"/>
              <a:ea typeface="+mn-ea"/>
              <a:cs typeface="+mn-cs"/>
            </a:rPr>
            <a:t>linear interpolation</a:t>
          </a:r>
          <a:r>
            <a:rPr lang="en-IN" sz="1400">
              <a:solidFill>
                <a:schemeClr val="tx1"/>
              </a:solidFill>
              <a:effectLst/>
              <a:latin typeface="+mn-lt"/>
              <a:ea typeface="+mn-ea"/>
              <a:cs typeface="+mn-cs"/>
            </a:rPr>
            <a:t> between the available March 2019 and May 2019 values:</a:t>
          </a:r>
          <a:endParaRPr lang="en-IN" sz="1400">
            <a:effectLst/>
          </a:endParaRPr>
        </a:p>
        <a:p>
          <a:r>
            <a:rPr lang="en-IN" sz="1400" b="1">
              <a:solidFill>
                <a:schemeClr val="tx1"/>
              </a:solidFill>
              <a:effectLst/>
              <a:latin typeface="+mn-lt"/>
              <a:ea typeface="+mn-ea"/>
              <a:cs typeface="+mn-cs"/>
            </a:rPr>
            <a:t>April 2019 = (March 2019 + May 2019) / 2 = (140.4 + 142.0) / 2 = 141.2</a:t>
          </a:r>
          <a:endParaRPr lang="en-IN" sz="1400">
            <a:effectLst/>
          </a:endParaRPr>
        </a:p>
        <a:p>
          <a:r>
            <a:rPr lang="en-IN" sz="1400">
              <a:solidFill>
                <a:schemeClr val="tx1"/>
              </a:solidFill>
              <a:effectLst/>
              <a:latin typeface="+mn-lt"/>
              <a:ea typeface="+mn-ea"/>
              <a:cs typeface="+mn-cs"/>
            </a:rPr>
            <a:t>The estimated value was appended to the dataset using Power Query, and the records were arranged chronologically using Year and Month Number.</a:t>
          </a:r>
          <a:endParaRPr lang="en-IN" sz="1400">
            <a:effectLst/>
          </a:endParaRPr>
        </a:p>
        <a:p>
          <a:r>
            <a:rPr lang="en-IN" sz="1400">
              <a:solidFill>
                <a:schemeClr val="tx1"/>
              </a:solidFill>
              <a:effectLst/>
              <a:latin typeface="+mn-lt"/>
              <a:ea typeface="+mn-ea"/>
              <a:cs typeface="+mn-cs"/>
            </a:rPr>
            <a:t>The </a:t>
          </a:r>
          <a:r>
            <a:rPr lang="en-IN" sz="1400" b="1">
              <a:solidFill>
                <a:schemeClr val="tx1"/>
              </a:solidFill>
              <a:effectLst/>
              <a:latin typeface="+mn-lt"/>
              <a:ea typeface="+mn-ea"/>
              <a:cs typeface="+mn-cs"/>
            </a:rPr>
            <a:t>annual average General Index</a:t>
          </a:r>
          <a:r>
            <a:rPr lang="en-IN" sz="1400">
              <a:solidFill>
                <a:schemeClr val="tx1"/>
              </a:solidFill>
              <a:effectLst/>
              <a:latin typeface="+mn-lt"/>
              <a:ea typeface="+mn-ea"/>
              <a:cs typeface="+mn-cs"/>
            </a:rPr>
            <a:t> was then calculated for each year using the AVERAGE function.</a:t>
          </a:r>
          <a:endParaRPr lang="en-IN" sz="1400">
            <a:effectLst/>
          </a:endParaRPr>
        </a:p>
        <a:p>
          <a:r>
            <a:rPr lang="en-IN" sz="1400">
              <a:solidFill>
                <a:schemeClr val="tx1"/>
              </a:solidFill>
              <a:effectLst/>
              <a:latin typeface="+mn-lt"/>
              <a:ea typeface="+mn-ea"/>
              <a:cs typeface="+mn-cs"/>
            </a:rPr>
            <a:t>Annual YoY inflation was calculated using:</a:t>
          </a:r>
          <a:endParaRPr lang="en-IN" sz="1400">
            <a:effectLst/>
          </a:endParaRPr>
        </a:p>
        <a:p>
          <a:r>
            <a:rPr lang="en-IN" sz="1400" b="1">
              <a:solidFill>
                <a:schemeClr val="tx1"/>
              </a:solidFill>
              <a:effectLst/>
              <a:latin typeface="+mn-lt"/>
              <a:ea typeface="+mn-ea"/>
              <a:cs typeface="+mn-cs"/>
            </a:rPr>
            <a:t>YoY Inflation (%) = [(Current Year Average CPI − Previous Year Average CPI) / Previous Year Average CPI] × 100</a:t>
          </a:r>
          <a:endParaRPr lang="en-IN" sz="1400">
            <a:effectLst/>
          </a:endParaRPr>
        </a:p>
        <a:p>
          <a:r>
            <a:rPr lang="en-IN" sz="1400">
              <a:solidFill>
                <a:schemeClr val="tx1"/>
              </a:solidFill>
              <a:effectLst/>
              <a:latin typeface="+mn-lt"/>
              <a:ea typeface="+mn-ea"/>
              <a:cs typeface="+mn-cs"/>
            </a:rPr>
            <a:t>The resulting annual inflation rates were compared to identify the year with the highest inflation and to analyze the overall trend.</a:t>
          </a:r>
          <a:endParaRPr lang="en-IN" sz="1400">
            <a:effectLst/>
          </a:endParaRPr>
        </a:p>
        <a:p>
          <a:endParaRPr lang="en-IN" sz="1100"/>
        </a:p>
      </xdr:txBody>
    </xdr:sp>
    <xdr:clientData/>
  </xdr:oneCellAnchor>
  <xdr:oneCellAnchor>
    <xdr:from>
      <xdr:col>7</xdr:col>
      <xdr:colOff>579120</xdr:colOff>
      <xdr:row>22</xdr:row>
      <xdr:rowOff>45720</xdr:rowOff>
    </xdr:from>
    <xdr:ext cx="6896100" cy="1325880"/>
    <xdr:sp macro="" textlink="">
      <xdr:nvSpPr>
        <xdr:cNvPr id="4" name="TextBox 3">
          <a:extLst>
            <a:ext uri="{FF2B5EF4-FFF2-40B4-BE49-F238E27FC236}">
              <a16:creationId xmlns:a16="http://schemas.microsoft.com/office/drawing/2014/main" id="{C9A0A54B-4C03-CD51-49C1-E2A1E2C58F39}"/>
            </a:ext>
          </a:extLst>
        </xdr:cNvPr>
        <xdr:cNvSpPr txBox="1"/>
      </xdr:nvSpPr>
      <xdr:spPr>
        <a:xfrm>
          <a:off x="5935980" y="4069080"/>
          <a:ext cx="6896100" cy="1325880"/>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tx1"/>
              </a:solidFill>
              <a:effectLst/>
              <a:latin typeface="+mn-lt"/>
              <a:ea typeface="+mn-ea"/>
              <a:cs typeface="+mn-cs"/>
            </a:rPr>
            <a:t>Important note</a:t>
          </a:r>
          <a:r>
            <a:rPr lang="en-IN" sz="1400" b="1" baseline="0">
              <a:solidFill>
                <a:schemeClr val="tx1"/>
              </a:solidFill>
              <a:effectLst/>
              <a:latin typeface="+mn-lt"/>
              <a:ea typeface="+mn-ea"/>
              <a:cs typeface="+mn-cs"/>
            </a:rPr>
            <a:t> :</a:t>
          </a:r>
          <a:endParaRPr lang="en-IN" sz="1400">
            <a:effectLst/>
          </a:endParaRPr>
        </a:p>
        <a:p>
          <a:r>
            <a:rPr lang="en-IN" sz="1400">
              <a:solidFill>
                <a:schemeClr val="tx1"/>
              </a:solidFill>
              <a:effectLst/>
              <a:latin typeface="+mn-lt"/>
              <a:ea typeface="+mn-ea"/>
              <a:cs typeface="+mn-cs"/>
            </a:rPr>
            <a:t>April 2019 was missing from the original dataset. Therefore, linear interpolation was used to estimate the missing value rather than leaving 2019 as an incomplete 11-month average. The raw dataset was kept unchanged, and the estimated observation was added to the analysis through Power Query.</a:t>
          </a:r>
          <a:endParaRPr lang="en-IN" sz="1400">
            <a:effectLst/>
          </a:endParaRPr>
        </a:p>
        <a:p>
          <a:endParaRPr lang="en-IN" sz="1100"/>
        </a:p>
      </xdr:txBody>
    </xdr:sp>
    <xdr:clientData/>
  </xdr:oneCellAnchor>
  <xdr:oneCellAnchor>
    <xdr:from>
      <xdr:col>7</xdr:col>
      <xdr:colOff>525780</xdr:colOff>
      <xdr:row>30</xdr:row>
      <xdr:rowOff>45720</xdr:rowOff>
    </xdr:from>
    <xdr:ext cx="7353300" cy="2769733"/>
    <xdr:sp macro="" textlink="">
      <xdr:nvSpPr>
        <xdr:cNvPr id="5" name="TextBox 4">
          <a:extLst>
            <a:ext uri="{FF2B5EF4-FFF2-40B4-BE49-F238E27FC236}">
              <a16:creationId xmlns:a16="http://schemas.microsoft.com/office/drawing/2014/main" id="{68B183C7-A758-6353-94A8-FA6899F145B5}"/>
            </a:ext>
          </a:extLst>
        </xdr:cNvPr>
        <xdr:cNvSpPr txBox="1"/>
      </xdr:nvSpPr>
      <xdr:spPr>
        <a:xfrm>
          <a:off x="5882640" y="5532120"/>
          <a:ext cx="7353300" cy="2769733"/>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tx1"/>
              </a:solidFill>
              <a:effectLst/>
              <a:latin typeface="+mn-lt"/>
              <a:ea typeface="+mn-ea"/>
              <a:cs typeface="+mn-cs"/>
            </a:rPr>
            <a:t>Conclusion :</a:t>
          </a:r>
          <a:endParaRPr lang="en-IN" sz="1600">
            <a:effectLst/>
          </a:endParaRPr>
        </a:p>
        <a:p>
          <a:r>
            <a:rPr lang="en-IN" sz="1600" b="0">
              <a:solidFill>
                <a:schemeClr val="tx1"/>
              </a:solidFill>
              <a:effectLst/>
              <a:latin typeface="+mn-lt"/>
              <a:ea typeface="+mn-ea"/>
              <a:cs typeface="+mn-cs"/>
            </a:rPr>
            <a:t>The analysis shows that Rural+Urban CPI inflation remained relatively moderate at around 3–4% during 2017–2019 before increasing significantly from 2020 onward. Inflation rose to approximately 6.19% in 2020, moderated slightly to 5.63% in 2021, and increased further to 6.62% in 2022. Therefore, 2022 recorded the highest annual inflation rate during the 2017–2022 period. Overall, the results indicate a clear increase in inflationary pressure after 2019, with inflation remaining above 5% from 2020 onwards.</a:t>
          </a:r>
          <a:endParaRPr lang="en-IN" sz="1600">
            <a:effectLst/>
          </a:endParaRPr>
        </a:p>
        <a:p>
          <a:r>
            <a:rPr lang="en-IN" sz="1600" b="0">
              <a:solidFill>
                <a:schemeClr val="tx1"/>
              </a:solidFill>
              <a:effectLst/>
              <a:latin typeface="+mn-lt"/>
              <a:ea typeface="+mn-ea"/>
              <a:cs typeface="+mn-cs"/>
            </a:rPr>
            <a:t>The </a:t>
          </a:r>
          <a:r>
            <a:rPr lang="en-IN" sz="1600" b="1">
              <a:solidFill>
                <a:schemeClr val="tx1"/>
              </a:solidFill>
              <a:effectLst/>
              <a:latin typeface="+mn-lt"/>
              <a:ea typeface="+mn-ea"/>
              <a:cs typeface="+mn-cs"/>
            </a:rPr>
            <a:t>line chart </a:t>
          </a:r>
          <a:r>
            <a:rPr lang="en-IN" sz="1600" b="0">
              <a:solidFill>
                <a:schemeClr val="tx1"/>
              </a:solidFill>
              <a:effectLst/>
              <a:latin typeface="+mn-lt"/>
              <a:ea typeface="+mn-ea"/>
              <a:cs typeface="+mn-cs"/>
            </a:rPr>
            <a:t>shows a relatively stable inflation rate during 2017–2019, followed by a sharp increase in 2020, a slight moderation in 2021, and a further rise to the peak of </a:t>
          </a:r>
          <a:r>
            <a:rPr lang="en-IN" sz="1600" b="1">
              <a:solidFill>
                <a:schemeClr val="tx1"/>
              </a:solidFill>
              <a:effectLst/>
              <a:latin typeface="+mn-lt"/>
              <a:ea typeface="+mn-ea"/>
              <a:cs typeface="+mn-cs"/>
            </a:rPr>
            <a:t>6.62%</a:t>
          </a:r>
          <a:r>
            <a:rPr lang="en-IN" sz="1600" b="0">
              <a:solidFill>
                <a:schemeClr val="tx1"/>
              </a:solidFill>
              <a:effectLst/>
              <a:latin typeface="+mn-lt"/>
              <a:ea typeface="+mn-ea"/>
              <a:cs typeface="+mn-cs"/>
            </a:rPr>
            <a:t> in </a:t>
          </a:r>
          <a:r>
            <a:rPr lang="en-IN" sz="1600" b="1">
              <a:solidFill>
                <a:schemeClr val="tx1"/>
              </a:solidFill>
              <a:effectLst/>
              <a:latin typeface="+mn-lt"/>
              <a:ea typeface="+mn-ea"/>
              <a:cs typeface="+mn-cs"/>
            </a:rPr>
            <a:t>2022</a:t>
          </a:r>
          <a:r>
            <a:rPr lang="en-IN" sz="1600" b="0">
              <a:solidFill>
                <a:schemeClr val="tx1"/>
              </a:solidFill>
              <a:effectLst/>
              <a:latin typeface="+mn-lt"/>
              <a:ea typeface="+mn-ea"/>
              <a:cs typeface="+mn-cs"/>
            </a:rPr>
            <a:t>.</a:t>
          </a:r>
          <a:endParaRPr lang="en-IN" sz="1600">
            <a:effectLst/>
          </a:endParaRPr>
        </a:p>
        <a:p>
          <a:endParaRPr lang="en-IN" sz="1100"/>
        </a:p>
      </xdr:txBody>
    </xdr:sp>
    <xdr:clientData/>
  </xdr:oneCellAnchor>
  <xdr:twoCellAnchor>
    <xdr:from>
      <xdr:col>6</xdr:col>
      <xdr:colOff>53340</xdr:colOff>
      <xdr:row>3</xdr:row>
      <xdr:rowOff>99060</xdr:rowOff>
    </xdr:from>
    <xdr:to>
      <xdr:col>17</xdr:col>
      <xdr:colOff>53340</xdr:colOff>
      <xdr:row>20</xdr:row>
      <xdr:rowOff>41910</xdr:rowOff>
    </xdr:to>
    <xdr:graphicFrame macro="">
      <xdr:nvGraphicFramePr>
        <xdr:cNvPr id="6" name="Chart 5">
          <a:extLst>
            <a:ext uri="{FF2B5EF4-FFF2-40B4-BE49-F238E27FC236}">
              <a16:creationId xmlns:a16="http://schemas.microsoft.com/office/drawing/2014/main" id="{55C62B3D-FD71-6C70-EB01-C976CFDBA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30480</xdr:colOff>
      <xdr:row>38</xdr:row>
      <xdr:rowOff>99060</xdr:rowOff>
    </xdr:from>
    <xdr:ext cx="6797040" cy="3345181"/>
    <xdr:sp macro="" textlink="">
      <xdr:nvSpPr>
        <xdr:cNvPr id="2" name="TextBox 1">
          <a:extLst>
            <a:ext uri="{FF2B5EF4-FFF2-40B4-BE49-F238E27FC236}">
              <a16:creationId xmlns:a16="http://schemas.microsoft.com/office/drawing/2014/main" id="{23C62B36-31B9-F082-273E-4A42C2D9024F}"/>
            </a:ext>
          </a:extLst>
        </xdr:cNvPr>
        <xdr:cNvSpPr txBox="1"/>
      </xdr:nvSpPr>
      <xdr:spPr>
        <a:xfrm>
          <a:off x="30480" y="7048500"/>
          <a:ext cx="6797040" cy="3345181"/>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chemeClr val="tx1"/>
              </a:solidFill>
              <a:effectLst/>
              <a:latin typeface="+mn-lt"/>
              <a:ea typeface="+mn-ea"/>
              <a:cs typeface="+mn-cs"/>
            </a:rPr>
            <a:t>Findings:</a:t>
          </a:r>
          <a:r>
            <a:rPr lang="en-IN" sz="1600">
              <a:solidFill>
                <a:schemeClr val="tx1"/>
              </a:solidFill>
              <a:effectLst/>
              <a:latin typeface="+mn-lt"/>
              <a:ea typeface="+mn-ea"/>
              <a:cs typeface="+mn-cs"/>
            </a:rPr>
            <a:t> </a:t>
          </a:r>
          <a:endParaRPr lang="en-IN" sz="1600">
            <a:effectLst/>
          </a:endParaRPr>
        </a:p>
        <a:p>
          <a:r>
            <a:rPr lang="en-IN" sz="1600" b="0">
              <a:solidFill>
                <a:schemeClr val="tx1"/>
              </a:solidFill>
              <a:effectLst/>
              <a:latin typeface="+mn-lt"/>
              <a:ea typeface="+mn-ea"/>
              <a:cs typeface="+mn-cs"/>
            </a:rPr>
            <a:t>The month-on-month analysis of the </a:t>
          </a:r>
          <a:r>
            <a:rPr lang="en-IN" sz="1600" b="1">
              <a:solidFill>
                <a:schemeClr val="tx1"/>
              </a:solidFill>
              <a:effectLst/>
              <a:latin typeface="+mn-lt"/>
              <a:ea typeface="+mn-ea"/>
              <a:cs typeface="+mn-cs"/>
            </a:rPr>
            <a:t>Food &amp; Beverages</a:t>
          </a:r>
          <a:r>
            <a:rPr lang="en-IN" sz="1600" b="0">
              <a:solidFill>
                <a:schemeClr val="tx1"/>
              </a:solidFill>
              <a:effectLst/>
              <a:latin typeface="+mn-lt"/>
              <a:ea typeface="+mn-ea"/>
              <a:cs typeface="+mn-cs"/>
            </a:rPr>
            <a:t> CPI for the </a:t>
          </a:r>
          <a:r>
            <a:rPr lang="en-IN" sz="1600" b="1">
              <a:solidFill>
                <a:schemeClr val="tx1"/>
              </a:solidFill>
              <a:effectLst/>
              <a:latin typeface="+mn-lt"/>
              <a:ea typeface="+mn-ea"/>
              <a:cs typeface="+mn-cs"/>
            </a:rPr>
            <a:t>Rural+Urban sector</a:t>
          </a:r>
          <a:r>
            <a:rPr lang="en-IN" sz="1600" b="0">
              <a:solidFill>
                <a:schemeClr val="tx1"/>
              </a:solidFill>
              <a:effectLst/>
              <a:latin typeface="+mn-lt"/>
              <a:ea typeface="+mn-ea"/>
              <a:cs typeface="+mn-cs"/>
            </a:rPr>
            <a:t> from June 2022 to May 2023 shows considerable fluctuations in food inflation. Food inflation was relatively high during June 2022 and increased steadily from July through October, reaching </a:t>
          </a:r>
          <a:r>
            <a:rPr lang="en-IN" sz="1600" b="1">
              <a:solidFill>
                <a:schemeClr val="tx1"/>
              </a:solidFill>
              <a:effectLst/>
              <a:latin typeface="+mn-lt"/>
              <a:ea typeface="+mn-ea"/>
              <a:cs typeface="+mn-cs"/>
            </a:rPr>
            <a:t>1.01%</a:t>
          </a:r>
          <a:r>
            <a:rPr lang="en-IN" sz="1600" b="0">
              <a:solidFill>
                <a:schemeClr val="tx1"/>
              </a:solidFill>
              <a:effectLst/>
              <a:latin typeface="+mn-lt"/>
              <a:ea typeface="+mn-ea"/>
              <a:cs typeface="+mn-cs"/>
            </a:rPr>
            <a:t> in </a:t>
          </a:r>
          <a:r>
            <a:rPr lang="en-IN" sz="1600" b="1">
              <a:solidFill>
                <a:schemeClr val="tx1"/>
              </a:solidFill>
              <a:effectLst/>
              <a:latin typeface="+mn-lt"/>
              <a:ea typeface="+mn-ea"/>
              <a:cs typeface="+mn-cs"/>
            </a:rPr>
            <a:t>October 2022</a:t>
          </a:r>
          <a:endParaRPr lang="en-IN" sz="1600">
            <a:effectLst/>
          </a:endParaRPr>
        </a:p>
        <a:p>
          <a:r>
            <a:rPr lang="en-IN" sz="1600" b="0">
              <a:solidFill>
                <a:schemeClr val="tx1"/>
              </a:solidFill>
              <a:effectLst/>
              <a:latin typeface="+mn-lt"/>
              <a:ea typeface="+mn-ea"/>
              <a:cs typeface="+mn-cs"/>
            </a:rPr>
            <a:t>recording </a:t>
          </a:r>
          <a:r>
            <a:rPr lang="en-IN" sz="1600" b="1">
              <a:solidFill>
                <a:schemeClr val="tx1"/>
              </a:solidFill>
              <a:effectLst/>
              <a:latin typeface="+mn-lt"/>
              <a:ea typeface="+mn-ea"/>
              <a:cs typeface="+mn-cs"/>
            </a:rPr>
            <a:t>highest</a:t>
          </a:r>
          <a:r>
            <a:rPr lang="en-IN" sz="1600" b="0" baseline="0">
              <a:solidFill>
                <a:schemeClr val="tx1"/>
              </a:solidFill>
              <a:effectLst/>
              <a:latin typeface="+mn-lt"/>
              <a:ea typeface="+mn-ea"/>
              <a:cs typeface="+mn-cs"/>
            </a:rPr>
            <a:t> </a:t>
          </a:r>
          <a:r>
            <a:rPr lang="en-IN" sz="1600" b="0">
              <a:solidFill>
                <a:schemeClr val="tx1"/>
              </a:solidFill>
              <a:effectLst/>
              <a:latin typeface="+mn-lt"/>
              <a:ea typeface="+mn-ea"/>
              <a:cs typeface="+mn-cs"/>
            </a:rPr>
            <a:t>MoM food inflation during entire period . This was followed by a sharp decline in November and December, with food inflation falling to </a:t>
          </a:r>
          <a:r>
            <a:rPr lang="en-IN" sz="1600" b="1">
              <a:solidFill>
                <a:schemeClr val="tx1"/>
              </a:solidFill>
              <a:effectLst/>
              <a:latin typeface="+mn-lt"/>
              <a:ea typeface="+mn-ea"/>
              <a:cs typeface="+mn-cs"/>
            </a:rPr>
            <a:t>−1.35% </a:t>
          </a:r>
          <a:r>
            <a:rPr lang="en-IN" sz="1600" b="0">
              <a:solidFill>
                <a:schemeClr val="tx1"/>
              </a:solidFill>
              <a:effectLst/>
              <a:latin typeface="+mn-lt"/>
              <a:ea typeface="+mn-ea"/>
              <a:cs typeface="+mn-cs"/>
            </a:rPr>
            <a:t>in </a:t>
          </a:r>
          <a:r>
            <a:rPr lang="en-IN" sz="1600" b="1">
              <a:solidFill>
                <a:schemeClr val="tx1"/>
              </a:solidFill>
              <a:effectLst/>
              <a:latin typeface="+mn-lt"/>
              <a:ea typeface="+mn-ea"/>
              <a:cs typeface="+mn-cs"/>
            </a:rPr>
            <a:t>December</a:t>
          </a:r>
          <a:r>
            <a:rPr lang="en-IN" sz="1600" b="0">
              <a:solidFill>
                <a:schemeClr val="tx1"/>
              </a:solidFill>
              <a:effectLst/>
              <a:latin typeface="+mn-lt"/>
              <a:ea typeface="+mn-ea"/>
              <a:cs typeface="+mn-cs"/>
            </a:rPr>
            <a:t>, the </a:t>
          </a:r>
          <a:r>
            <a:rPr lang="en-IN" sz="1600" b="1">
              <a:solidFill>
                <a:schemeClr val="tx1"/>
              </a:solidFill>
              <a:effectLst/>
              <a:latin typeface="+mn-lt"/>
              <a:ea typeface="+mn-ea"/>
              <a:cs typeface="+mn-cs"/>
            </a:rPr>
            <a:t>lowest</a:t>
          </a:r>
          <a:r>
            <a:rPr lang="en-IN" sz="1600" b="0">
              <a:solidFill>
                <a:schemeClr val="tx1"/>
              </a:solidFill>
              <a:effectLst/>
              <a:latin typeface="+mn-lt"/>
              <a:ea typeface="+mn-ea"/>
              <a:cs typeface="+mn-cs"/>
            </a:rPr>
            <a:t> value during the period.</a:t>
          </a:r>
          <a:endParaRPr lang="en-IN" sz="1600">
            <a:effectLst/>
          </a:endParaRPr>
        </a:p>
        <a:p>
          <a:r>
            <a:rPr lang="en-IN" sz="1600" b="0">
              <a:solidFill>
                <a:schemeClr val="tx1"/>
              </a:solidFill>
              <a:effectLst/>
              <a:latin typeface="+mn-lt"/>
              <a:ea typeface="+mn-ea"/>
              <a:cs typeface="+mn-cs"/>
            </a:rPr>
            <a:t>Food inflation recovered in January 2023, although the rate moderated during February and remained unchanged in March. A further increase occurred in April and May</a:t>
          </a:r>
          <a:r>
            <a:rPr lang="en-IN" sz="1600" b="0" baseline="0">
              <a:solidFill>
                <a:schemeClr val="tx1"/>
              </a:solidFill>
              <a:effectLst/>
              <a:latin typeface="+mn-lt"/>
              <a:ea typeface="+mn-ea"/>
              <a:cs typeface="+mn-cs"/>
            </a:rPr>
            <a:t> 2023</a:t>
          </a:r>
          <a:r>
            <a:rPr lang="en-IN" sz="1600" b="0">
              <a:solidFill>
                <a:schemeClr val="tx1"/>
              </a:solidFill>
              <a:effectLst/>
              <a:latin typeface="+mn-lt"/>
              <a:ea typeface="+mn-ea"/>
              <a:cs typeface="+mn-cs"/>
            </a:rPr>
            <a:t> with </a:t>
          </a:r>
          <a:r>
            <a:rPr lang="en-IN" sz="1600" b="1">
              <a:solidFill>
                <a:schemeClr val="tx1"/>
              </a:solidFill>
              <a:effectLst/>
              <a:latin typeface="+mn-lt"/>
              <a:ea typeface="+mn-ea"/>
              <a:cs typeface="+mn-cs"/>
            </a:rPr>
            <a:t>May 2023</a:t>
          </a:r>
          <a:r>
            <a:rPr lang="en-IN" sz="1600" b="0">
              <a:solidFill>
                <a:schemeClr val="tx1"/>
              </a:solidFill>
              <a:effectLst/>
              <a:latin typeface="+mn-lt"/>
              <a:ea typeface="+mn-ea"/>
              <a:cs typeface="+mn-cs"/>
            </a:rPr>
            <a:t> recording</a:t>
          </a:r>
          <a:r>
            <a:rPr lang="en-IN" sz="1600" b="0" baseline="0">
              <a:solidFill>
                <a:schemeClr val="tx1"/>
              </a:solidFill>
              <a:effectLst/>
              <a:latin typeface="+mn-lt"/>
              <a:ea typeface="+mn-ea"/>
              <a:cs typeface="+mn-cs"/>
            </a:rPr>
            <a:t> 0.67%</a:t>
          </a:r>
          <a:r>
            <a:rPr lang="en-IN" sz="1600" b="0">
              <a:solidFill>
                <a:schemeClr val="tx1"/>
              </a:solidFill>
              <a:effectLst/>
              <a:latin typeface="+mn-lt"/>
              <a:ea typeface="+mn-ea"/>
              <a:cs typeface="+mn-cs"/>
            </a:rPr>
            <a:t>. Overall, the trend indicates that food prices experienced significant month-to-month volatility rather than a consistent upward or downward movement.</a:t>
          </a:r>
          <a:endParaRPr lang="en-IN" sz="1600">
            <a:effectLst/>
          </a:endParaRPr>
        </a:p>
        <a:p>
          <a:endParaRPr lang="en-IN" sz="1100"/>
        </a:p>
      </xdr:txBody>
    </xdr:sp>
    <xdr:clientData/>
  </xdr:oneCellAnchor>
  <xdr:oneCellAnchor>
    <xdr:from>
      <xdr:col>0</xdr:col>
      <xdr:colOff>60960</xdr:colOff>
      <xdr:row>59</xdr:row>
      <xdr:rowOff>22860</xdr:rowOff>
    </xdr:from>
    <xdr:ext cx="7551420" cy="4213860"/>
    <xdr:sp macro="" textlink="">
      <xdr:nvSpPr>
        <xdr:cNvPr id="3" name="TextBox 2">
          <a:extLst>
            <a:ext uri="{FF2B5EF4-FFF2-40B4-BE49-F238E27FC236}">
              <a16:creationId xmlns:a16="http://schemas.microsoft.com/office/drawing/2014/main" id="{D05A6F47-76CE-A59B-27F3-7C3A3FEF0857}"/>
            </a:ext>
          </a:extLst>
        </xdr:cNvPr>
        <xdr:cNvSpPr txBox="1"/>
      </xdr:nvSpPr>
      <xdr:spPr>
        <a:xfrm>
          <a:off x="60960" y="10812780"/>
          <a:ext cx="7551420" cy="4213860"/>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chemeClr val="tx1"/>
              </a:solidFill>
              <a:effectLst/>
              <a:latin typeface="+mn-lt"/>
              <a:ea typeface="+mn-ea"/>
              <a:cs typeface="+mn-cs"/>
            </a:rPr>
            <a:t>Methodology:</a:t>
          </a:r>
          <a:endParaRPr lang="en-IN" sz="1600">
            <a:effectLst/>
          </a:endParaRPr>
        </a:p>
        <a:p>
          <a:r>
            <a:rPr lang="en-IN" sz="1600" b="0">
              <a:solidFill>
                <a:schemeClr val="tx1"/>
              </a:solidFill>
              <a:effectLst/>
              <a:latin typeface="+mn-lt"/>
              <a:ea typeface="+mn-ea"/>
              <a:cs typeface="+mn-cs"/>
            </a:rPr>
            <a:t>The analysis was conducted using the </a:t>
          </a:r>
          <a:r>
            <a:rPr lang="en-IN" sz="1600" b="1">
              <a:solidFill>
                <a:schemeClr val="tx1"/>
              </a:solidFill>
              <a:effectLst/>
              <a:latin typeface="+mn-lt"/>
              <a:ea typeface="+mn-ea"/>
              <a:cs typeface="+mn-cs"/>
            </a:rPr>
            <a:t>Rural+Urban sector </a:t>
          </a:r>
          <a:r>
            <a:rPr lang="en-IN" sz="1600" b="0">
              <a:solidFill>
                <a:schemeClr val="tx1"/>
              </a:solidFill>
              <a:effectLst/>
              <a:latin typeface="+mn-lt"/>
              <a:ea typeface="+mn-ea"/>
              <a:cs typeface="+mn-cs"/>
            </a:rPr>
            <a:t>and the </a:t>
          </a:r>
          <a:r>
            <a:rPr lang="en-IN" sz="1600" b="1">
              <a:solidFill>
                <a:schemeClr val="tx1"/>
              </a:solidFill>
              <a:effectLst/>
              <a:latin typeface="+mn-lt"/>
              <a:ea typeface="+mn-ea"/>
              <a:cs typeface="+mn-cs"/>
            </a:rPr>
            <a:t>12-month period from June 2022 to May 2023.</a:t>
          </a:r>
          <a:r>
            <a:rPr lang="en-IN" sz="1600" b="0">
              <a:solidFill>
                <a:schemeClr val="tx1"/>
              </a:solidFill>
              <a:effectLst/>
              <a:latin typeface="+mn-lt"/>
              <a:ea typeface="+mn-ea"/>
              <a:cs typeface="+mn-cs"/>
            </a:rPr>
            <a:t> The </a:t>
          </a:r>
          <a:r>
            <a:rPr lang="en-IN" sz="1600" b="1">
              <a:solidFill>
                <a:schemeClr val="tx1"/>
              </a:solidFill>
              <a:effectLst/>
              <a:latin typeface="+mn-lt"/>
              <a:ea typeface="+mn-ea"/>
              <a:cs typeface="+mn-cs"/>
            </a:rPr>
            <a:t>Food and Beverages </a:t>
          </a:r>
          <a:r>
            <a:rPr lang="en-IN" sz="1600" b="0">
              <a:solidFill>
                <a:schemeClr val="tx1"/>
              </a:solidFill>
              <a:effectLst/>
              <a:latin typeface="+mn-lt"/>
              <a:ea typeface="+mn-ea"/>
              <a:cs typeface="+mn-cs"/>
            </a:rPr>
            <a:t>CPI index was used as the </a:t>
          </a:r>
          <a:r>
            <a:rPr lang="en-IN" sz="1600" b="1">
              <a:solidFill>
                <a:schemeClr val="tx1"/>
              </a:solidFill>
              <a:effectLst/>
              <a:latin typeface="+mn-lt"/>
              <a:ea typeface="+mn-ea"/>
              <a:cs typeface="+mn-cs"/>
            </a:rPr>
            <a:t>broader food basket </a:t>
          </a:r>
          <a:r>
            <a:rPr lang="en-IN" sz="1600" b="0">
              <a:solidFill>
                <a:schemeClr val="tx1"/>
              </a:solidFill>
              <a:effectLst/>
              <a:latin typeface="+mn-lt"/>
              <a:ea typeface="+mn-ea"/>
              <a:cs typeface="+mn-cs"/>
            </a:rPr>
            <a:t>to analyse the monthly food inflation trend.</a:t>
          </a:r>
          <a:endParaRPr lang="en-IN" sz="1600">
            <a:effectLst/>
          </a:endParaRPr>
        </a:p>
        <a:p>
          <a:r>
            <a:rPr lang="en-IN" sz="1600" b="0">
              <a:solidFill>
                <a:schemeClr val="tx1"/>
              </a:solidFill>
              <a:effectLst/>
              <a:latin typeface="+mn-lt"/>
              <a:ea typeface="+mn-ea"/>
              <a:cs typeface="+mn-cs"/>
            </a:rPr>
            <a:t>Month-on-month (MoM) percentage change was calculated by comparing the current month's Food and Beverages CPI index with the previous month's index using the formula:</a:t>
          </a:r>
          <a:endParaRPr lang="en-IN" sz="1600">
            <a:effectLst/>
          </a:endParaRPr>
        </a:p>
        <a:p>
          <a:r>
            <a:rPr lang="en-IN" sz="1600" b="1">
              <a:solidFill>
                <a:schemeClr val="tx1"/>
              </a:solidFill>
              <a:effectLst/>
              <a:latin typeface="+mn-lt"/>
              <a:ea typeface="+mn-ea"/>
              <a:cs typeface="+mn-cs"/>
            </a:rPr>
            <a:t>MoM % Change = [(Current Month Index − Previous Month Index) / Previous Month Index] × 100</a:t>
          </a:r>
          <a:endParaRPr lang="en-IN" sz="1600">
            <a:effectLst/>
          </a:endParaRPr>
        </a:p>
        <a:p>
          <a:r>
            <a:rPr lang="en-IN" sz="1600" b="0">
              <a:solidFill>
                <a:schemeClr val="tx1"/>
              </a:solidFill>
              <a:effectLst/>
              <a:latin typeface="+mn-lt"/>
              <a:ea typeface="+mn-ea"/>
              <a:cs typeface="+mn-cs"/>
            </a:rPr>
            <a:t>The May 2022 value was retained to calculate the June 2022 MoM change. The maximum and minimum MoM values were then identified to determine the months with the highest and lowest food inflation.</a:t>
          </a:r>
          <a:endParaRPr lang="en-IN" sz="1600">
            <a:effectLst/>
          </a:endParaRPr>
        </a:p>
        <a:p>
          <a:r>
            <a:rPr lang="en-IN" sz="1600" b="0">
              <a:solidFill>
                <a:schemeClr val="tx1"/>
              </a:solidFill>
              <a:effectLst/>
              <a:latin typeface="+mn-lt"/>
              <a:ea typeface="+mn-ea"/>
              <a:cs typeface="+mn-cs"/>
            </a:rPr>
            <a:t>For the second part, the individual food categories were compared between June 2022 and May 2023. Absolute change was calculated as the May 2023 index minus the June 2022 index. This was used to identify the food category with the largest increase or decrease in its CPI index.</a:t>
          </a:r>
          <a:endParaRPr lang="en-IN" sz="1600">
            <a:effectLst/>
          </a:endParaRPr>
        </a:p>
        <a:p>
          <a:endParaRPr lang="en-IN" sz="1100"/>
        </a:p>
      </xdr:txBody>
    </xdr:sp>
    <xdr:clientData/>
  </xdr:oneCellAnchor>
  <xdr:oneCellAnchor>
    <xdr:from>
      <xdr:col>0</xdr:col>
      <xdr:colOff>22860</xdr:colOff>
      <xdr:row>0</xdr:row>
      <xdr:rowOff>0</xdr:rowOff>
    </xdr:from>
    <xdr:ext cx="20368260" cy="530658"/>
    <xdr:sp macro="" textlink="">
      <xdr:nvSpPr>
        <xdr:cNvPr id="4" name="TextBox 3">
          <a:extLst>
            <a:ext uri="{FF2B5EF4-FFF2-40B4-BE49-F238E27FC236}">
              <a16:creationId xmlns:a16="http://schemas.microsoft.com/office/drawing/2014/main" id="{98CFD9F1-A081-18BB-9007-19B6D6DDF13A}"/>
            </a:ext>
          </a:extLst>
        </xdr:cNvPr>
        <xdr:cNvSpPr txBox="1"/>
      </xdr:nvSpPr>
      <xdr:spPr>
        <a:xfrm>
          <a:off x="22860" y="0"/>
          <a:ext cx="20368260" cy="530658"/>
        </a:xfrm>
        <a:prstGeom prst="rect">
          <a:avLst/>
        </a:prstGeom>
        <a:solidFill>
          <a:schemeClr val="tx2">
            <a:lumMod val="90000"/>
            <a:lumOff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u="none">
              <a:solidFill>
                <a:schemeClr val="tx1"/>
              </a:solidFill>
              <a:effectLst/>
              <a:latin typeface="+mn-lt"/>
              <a:ea typeface="+mn-ea"/>
              <a:cs typeface="+mn-cs"/>
            </a:rPr>
            <a:t>                                               </a:t>
          </a:r>
          <a:r>
            <a:rPr lang="en-IN" sz="2800" b="1" u="sng">
              <a:solidFill>
                <a:schemeClr val="bg1"/>
              </a:solidFill>
              <a:effectLst/>
              <a:latin typeface="+mn-lt"/>
              <a:ea typeface="+mn-ea"/>
              <a:cs typeface="+mn-cs"/>
            </a:rPr>
            <a:t>Food Inflation Analysis -</a:t>
          </a:r>
          <a:r>
            <a:rPr lang="en-IN" sz="2800" b="1" u="sng" baseline="0">
              <a:solidFill>
                <a:schemeClr val="bg1"/>
              </a:solidFill>
              <a:effectLst/>
              <a:latin typeface="+mn-lt"/>
              <a:ea typeface="+mn-ea"/>
              <a:cs typeface="+mn-cs"/>
            </a:rPr>
            <a:t> 12 Months Ending May 2023</a:t>
          </a:r>
          <a:endParaRPr lang="en-IN" sz="2800" u="sng">
            <a:solidFill>
              <a:schemeClr val="bg1"/>
            </a:solidFill>
          </a:endParaRPr>
        </a:p>
      </xdr:txBody>
    </xdr:sp>
    <xdr:clientData/>
  </xdr:oneCellAnchor>
  <xdr:oneCellAnchor>
    <xdr:from>
      <xdr:col>8</xdr:col>
      <xdr:colOff>1021080</xdr:colOff>
      <xdr:row>39</xdr:row>
      <xdr:rowOff>30480</xdr:rowOff>
    </xdr:from>
    <xdr:ext cx="8004266" cy="1955022"/>
    <xdr:sp macro="" textlink="">
      <xdr:nvSpPr>
        <xdr:cNvPr id="5" name="TextBox 4">
          <a:extLst>
            <a:ext uri="{FF2B5EF4-FFF2-40B4-BE49-F238E27FC236}">
              <a16:creationId xmlns:a16="http://schemas.microsoft.com/office/drawing/2014/main" id="{36089CD9-6AB2-E32F-E852-F9FE871D2CDE}"/>
            </a:ext>
          </a:extLst>
        </xdr:cNvPr>
        <xdr:cNvSpPr txBox="1"/>
      </xdr:nvSpPr>
      <xdr:spPr>
        <a:xfrm>
          <a:off x="8862060" y="7162800"/>
          <a:ext cx="8004266" cy="1955022"/>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solidFill>
                <a:schemeClr val="tx1"/>
              </a:solidFill>
              <a:effectLst/>
              <a:latin typeface="+mn-lt"/>
              <a:ea typeface="+mn-ea"/>
              <a:cs typeface="+mn-cs"/>
            </a:rPr>
            <a:t>Findings:</a:t>
          </a:r>
          <a:endParaRPr lang="en-IN" sz="1800">
            <a:effectLst/>
          </a:endParaRPr>
        </a:p>
        <a:p>
          <a:r>
            <a:rPr lang="en-IN" sz="1800">
              <a:solidFill>
                <a:schemeClr val="tx1"/>
              </a:solidFill>
              <a:effectLst/>
              <a:latin typeface="+mn-lt"/>
              <a:ea typeface="+mn-ea"/>
              <a:cs typeface="+mn-cs"/>
            </a:rPr>
            <a:t>Between June 2022 and May 2023, the Food &amp; Beverages index increased from 174.9 to 179.1, an absolute increase of 4.2 index points. Among the individual food categories, Spices recorded the largest absolute increase, rising from 187.1 to 218.0, an increase of 30.9 index points. Oils &amp; Fats and Vegetables showed the largest declines, falling by 30.9 and 21.3 index points respectively.</a:t>
          </a:r>
          <a:endParaRPr lang="en-IN" sz="1800">
            <a:effectLst/>
          </a:endParaRPr>
        </a:p>
        <a:p>
          <a:endParaRPr lang="en-IN" sz="1100"/>
        </a:p>
      </xdr:txBody>
    </xdr:sp>
    <xdr:clientData/>
  </xdr:oneCellAnchor>
  <xdr:oneCellAnchor>
    <xdr:from>
      <xdr:col>8</xdr:col>
      <xdr:colOff>487680</xdr:colOff>
      <xdr:row>56</xdr:row>
      <xdr:rowOff>152400</xdr:rowOff>
    </xdr:from>
    <xdr:ext cx="7810500" cy="4208973"/>
    <xdr:sp macro="" textlink="">
      <xdr:nvSpPr>
        <xdr:cNvPr id="6" name="TextBox 5">
          <a:extLst>
            <a:ext uri="{FF2B5EF4-FFF2-40B4-BE49-F238E27FC236}">
              <a16:creationId xmlns:a16="http://schemas.microsoft.com/office/drawing/2014/main" id="{FFB6F528-C81D-4F8B-4486-0BC44D55AB37}"/>
            </a:ext>
          </a:extLst>
        </xdr:cNvPr>
        <xdr:cNvSpPr txBox="1"/>
      </xdr:nvSpPr>
      <xdr:spPr>
        <a:xfrm>
          <a:off x="8328660" y="10393680"/>
          <a:ext cx="7810500" cy="4208973"/>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solidFill>
                <a:schemeClr val="tx1"/>
              </a:solidFill>
              <a:effectLst/>
              <a:latin typeface="+mn-lt"/>
              <a:ea typeface="+mn-ea"/>
              <a:cs typeface="+mn-cs"/>
            </a:rPr>
            <a:t>Conclusion:</a:t>
          </a:r>
          <a:br>
            <a:rPr lang="en-IN" sz="1800">
              <a:solidFill>
                <a:schemeClr val="tx1"/>
              </a:solidFill>
              <a:effectLst/>
              <a:latin typeface="+mn-lt"/>
              <a:ea typeface="+mn-ea"/>
              <a:cs typeface="+mn-cs"/>
            </a:rPr>
          </a:br>
          <a:r>
            <a:rPr lang="en-IN" sz="1800">
              <a:solidFill>
                <a:schemeClr val="tx1"/>
              </a:solidFill>
              <a:effectLst/>
              <a:latin typeface="+mn-lt"/>
              <a:ea typeface="+mn-ea"/>
              <a:cs typeface="+mn-cs"/>
            </a:rPr>
            <a:t>The analysis of the Rural+Urban CPI data for June 2022 to May 2023 shows that food inflation experienced considerable month-to-month variation during the period. The highest monthly increase in the Food &amp; Beverages index occurred in </a:t>
          </a:r>
          <a:r>
            <a:rPr lang="en-IN" sz="1800" b="1">
              <a:solidFill>
                <a:schemeClr val="tx1"/>
              </a:solidFill>
              <a:effectLst/>
              <a:latin typeface="+mn-lt"/>
              <a:ea typeface="+mn-ea"/>
              <a:cs typeface="+mn-cs"/>
            </a:rPr>
            <a:t>October 2022 at approximately 1.01%</a:t>
          </a:r>
          <a:r>
            <a:rPr lang="en-IN" sz="1800">
              <a:solidFill>
                <a:schemeClr val="tx1"/>
              </a:solidFill>
              <a:effectLst/>
              <a:latin typeface="+mn-lt"/>
              <a:ea typeface="+mn-ea"/>
              <a:cs typeface="+mn-cs"/>
            </a:rPr>
            <a:t>, while the lowest occurred in </a:t>
          </a:r>
          <a:r>
            <a:rPr lang="en-IN" sz="1800" b="1">
              <a:solidFill>
                <a:schemeClr val="tx1"/>
              </a:solidFill>
              <a:effectLst/>
              <a:latin typeface="+mn-lt"/>
              <a:ea typeface="+mn-ea"/>
              <a:cs typeface="+mn-cs"/>
            </a:rPr>
            <a:t>December 2022 at approximately −1.35%</a:t>
          </a:r>
          <a:r>
            <a:rPr lang="en-IN" sz="1800">
              <a:solidFill>
                <a:schemeClr val="tx1"/>
              </a:solidFill>
              <a:effectLst/>
              <a:latin typeface="+mn-lt"/>
              <a:ea typeface="+mn-ea"/>
              <a:cs typeface="+mn-cs"/>
            </a:rPr>
            <a:t>. After the decline in late 2022, food inflation generally recovered during the beginning of 2023 and reached a 0.67% MoM increase in May 2023.</a:t>
          </a:r>
          <a:endParaRPr lang="en-IN" sz="1800">
            <a:effectLst/>
          </a:endParaRPr>
        </a:p>
        <a:p>
          <a:r>
            <a:rPr lang="en-IN" sz="1800">
              <a:solidFill>
                <a:schemeClr val="tx1"/>
              </a:solidFill>
              <a:effectLst/>
              <a:latin typeface="+mn-lt"/>
              <a:ea typeface="+mn-ea"/>
              <a:cs typeface="+mn-cs"/>
            </a:rPr>
            <a:t>Over the complete 12-month period, the Food &amp; Beverages index increased by </a:t>
          </a:r>
          <a:r>
            <a:rPr lang="en-IN" sz="1800" b="1">
              <a:solidFill>
                <a:schemeClr val="tx1"/>
              </a:solidFill>
              <a:effectLst/>
              <a:latin typeface="+mn-lt"/>
              <a:ea typeface="+mn-ea"/>
              <a:cs typeface="+mn-cs"/>
            </a:rPr>
            <a:t>4.2 index points</a:t>
          </a:r>
          <a:r>
            <a:rPr lang="en-IN" sz="1800">
              <a:solidFill>
                <a:schemeClr val="tx1"/>
              </a:solidFill>
              <a:effectLst/>
              <a:latin typeface="+mn-lt"/>
              <a:ea typeface="+mn-ea"/>
              <a:cs typeface="+mn-cs"/>
            </a:rPr>
            <a:t>, from 174.9 in June 2022 to 179.1 in May 2023. Among the individual food categories, </a:t>
          </a:r>
          <a:r>
            <a:rPr lang="en-IN" sz="1800" b="1">
              <a:solidFill>
                <a:schemeClr val="tx1"/>
              </a:solidFill>
              <a:effectLst/>
              <a:latin typeface="+mn-lt"/>
              <a:ea typeface="+mn-ea"/>
              <a:cs typeface="+mn-cs"/>
            </a:rPr>
            <a:t>Spices recorded the largest absolute increase of 30.9 index points</a:t>
          </a:r>
          <a:r>
            <a:rPr lang="en-IN" sz="1800">
              <a:solidFill>
                <a:schemeClr val="tx1"/>
              </a:solidFill>
              <a:effectLst/>
              <a:latin typeface="+mn-lt"/>
              <a:ea typeface="+mn-ea"/>
              <a:cs typeface="+mn-cs"/>
            </a:rPr>
            <a:t>, while Oils and Fats recorded the largest decline of 30.9 points. Overall, the results demonstrate that food inflation was not uniform across categories, with some food groups experiencing substantial increases while others declined.</a:t>
          </a:r>
          <a:endParaRPr lang="en-IN" sz="1800">
            <a:effectLst/>
          </a:endParaRPr>
        </a:p>
        <a:p>
          <a:endParaRPr lang="en-IN" sz="1100"/>
        </a:p>
      </xdr:txBody>
    </xdr:sp>
    <xdr:clientData/>
  </xdr:oneCellAnchor>
  <xdr:twoCellAnchor>
    <xdr:from>
      <xdr:col>13</xdr:col>
      <xdr:colOff>457200</xdr:colOff>
      <xdr:row>19</xdr:row>
      <xdr:rowOff>83820</xdr:rowOff>
    </xdr:from>
    <xdr:to>
      <xdr:col>17</xdr:col>
      <xdr:colOff>662940</xdr:colOff>
      <xdr:row>38</xdr:row>
      <xdr:rowOff>76200</xdr:rowOff>
    </xdr:to>
    <xdr:graphicFrame macro="">
      <xdr:nvGraphicFramePr>
        <xdr:cNvPr id="8" name="Chart 7">
          <a:extLst>
            <a:ext uri="{FF2B5EF4-FFF2-40B4-BE49-F238E27FC236}">
              <a16:creationId xmlns:a16="http://schemas.microsoft.com/office/drawing/2014/main" id="{94989A9D-FB66-99E5-0FD9-886323DD4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449580</xdr:colOff>
      <xdr:row>18</xdr:row>
      <xdr:rowOff>175260</xdr:rowOff>
    </xdr:from>
    <xdr:to>
      <xdr:col>7</xdr:col>
      <xdr:colOff>480060</xdr:colOff>
      <xdr:row>37</xdr:row>
      <xdr:rowOff>41910</xdr:rowOff>
    </xdr:to>
    <xdr:graphicFrame macro="">
      <xdr:nvGraphicFramePr>
        <xdr:cNvPr id="9" name="Chart 8">
          <a:extLst>
            <a:ext uri="{FF2B5EF4-FFF2-40B4-BE49-F238E27FC236}">
              <a16:creationId xmlns:a16="http://schemas.microsoft.com/office/drawing/2014/main" id="{D8C97BE9-8D6D-EC10-088F-5CA4DFF6C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2067520" cy="556260"/>
    <xdr:sp macro="" textlink="">
      <xdr:nvSpPr>
        <xdr:cNvPr id="2" name="TextBox 1">
          <a:extLst>
            <a:ext uri="{FF2B5EF4-FFF2-40B4-BE49-F238E27FC236}">
              <a16:creationId xmlns:a16="http://schemas.microsoft.com/office/drawing/2014/main" id="{10D0AB1A-6CE4-E0DC-CF88-AAD7C056655F}"/>
            </a:ext>
          </a:extLst>
        </xdr:cNvPr>
        <xdr:cNvSpPr txBox="1"/>
      </xdr:nvSpPr>
      <xdr:spPr>
        <a:xfrm>
          <a:off x="0" y="0"/>
          <a:ext cx="22067520" cy="556260"/>
        </a:xfrm>
        <a:prstGeom prst="rect">
          <a:avLst/>
        </a:prstGeom>
        <a:solidFill>
          <a:schemeClr val="tx2">
            <a:lumMod val="90000"/>
            <a:lumOff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u="none">
              <a:solidFill>
                <a:schemeClr val="bg1"/>
              </a:solidFill>
              <a:effectLst/>
              <a:latin typeface="+mn-lt"/>
              <a:ea typeface="+mn-ea"/>
              <a:cs typeface="+mn-cs"/>
            </a:rPr>
            <a:t>                                        </a:t>
          </a:r>
          <a:r>
            <a:rPr lang="en-IN" sz="2800" b="1" u="sng">
              <a:solidFill>
                <a:schemeClr val="bg1"/>
              </a:solidFill>
              <a:effectLst/>
              <a:latin typeface="+mn-lt"/>
              <a:ea typeface="+mn-ea"/>
              <a:cs typeface="+mn-cs"/>
            </a:rPr>
            <a:t>COVID-19 Impact on CPI Inflation - </a:t>
          </a:r>
          <a:r>
            <a:rPr lang="en-IN" sz="2800" b="1" u="sng" baseline="0">
              <a:solidFill>
                <a:schemeClr val="bg1"/>
              </a:solidFill>
              <a:effectLst/>
              <a:latin typeface="+mn-lt"/>
              <a:ea typeface="+mn-ea"/>
              <a:cs typeface="+mn-cs"/>
            </a:rPr>
            <a:t> Pre- and Post-March 2020 Analysis</a:t>
          </a:r>
          <a:endParaRPr lang="en-IN" sz="2800" u="sng">
            <a:solidFill>
              <a:schemeClr val="bg1"/>
            </a:solidFill>
          </a:endParaRPr>
        </a:p>
      </xdr:txBody>
    </xdr:sp>
    <xdr:clientData/>
  </xdr:oneCellAnchor>
  <xdr:twoCellAnchor>
    <xdr:from>
      <xdr:col>8</xdr:col>
      <xdr:colOff>403860</xdr:colOff>
      <xdr:row>45</xdr:row>
      <xdr:rowOff>22860</xdr:rowOff>
    </xdr:from>
    <xdr:to>
      <xdr:col>10</xdr:col>
      <xdr:colOff>1531620</xdr:colOff>
      <xdr:row>64</xdr:row>
      <xdr:rowOff>30480</xdr:rowOff>
    </xdr:to>
    <xdr:graphicFrame macro="">
      <xdr:nvGraphicFramePr>
        <xdr:cNvPr id="3" name="Chart 2">
          <a:extLst>
            <a:ext uri="{FF2B5EF4-FFF2-40B4-BE49-F238E27FC236}">
              <a16:creationId xmlns:a16="http://schemas.microsoft.com/office/drawing/2014/main" id="{83E28285-C5A2-0E60-9A94-12600F417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30480</xdr:colOff>
      <xdr:row>56</xdr:row>
      <xdr:rowOff>22860</xdr:rowOff>
    </xdr:from>
    <xdr:ext cx="7254240" cy="3990323"/>
    <xdr:sp macro="" textlink="">
      <xdr:nvSpPr>
        <xdr:cNvPr id="4" name="TextBox 3">
          <a:extLst>
            <a:ext uri="{FF2B5EF4-FFF2-40B4-BE49-F238E27FC236}">
              <a16:creationId xmlns:a16="http://schemas.microsoft.com/office/drawing/2014/main" id="{8801306E-E578-AA2A-921D-F7894AA3BCF6}"/>
            </a:ext>
          </a:extLst>
        </xdr:cNvPr>
        <xdr:cNvSpPr txBox="1"/>
      </xdr:nvSpPr>
      <xdr:spPr>
        <a:xfrm>
          <a:off x="792480" y="7703820"/>
          <a:ext cx="7254240" cy="3990323"/>
        </a:xfrm>
        <a:prstGeom prst="rect">
          <a:avLst/>
        </a:prstGeom>
        <a:solidFill>
          <a:schemeClr val="tx2">
            <a:lumMod val="25000"/>
            <a:lumOff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Objective:</a:t>
          </a:r>
          <a:r>
            <a:rPr lang="en-IN" sz="1400"/>
            <a:t> </a:t>
          </a:r>
        </a:p>
        <a:p>
          <a:r>
            <a:rPr lang="en-IN" sz="1400"/>
            <a:t>To compare year-on-year (YoY) inflation across five CPI categories before, during the onset of, and after the onset of COVID-19.</a:t>
          </a:r>
        </a:p>
        <a:p>
          <a:r>
            <a:rPr lang="en-IN" sz="1400" b="1"/>
            <a:t>Dataset:</a:t>
          </a:r>
          <a:r>
            <a:rPr lang="en-IN" sz="1400"/>
            <a:t> </a:t>
          </a:r>
        </a:p>
        <a:p>
          <a:r>
            <a:rPr lang="en-IN" sz="1400"/>
            <a:t>Rural+Urban CPI data.</a:t>
          </a:r>
        </a:p>
        <a:p>
          <a:r>
            <a:rPr lang="en-IN" sz="1400" b="1"/>
            <a:t>Categories analysed:</a:t>
          </a:r>
          <a:r>
            <a:rPr lang="en-IN" sz="1400"/>
            <a:t> </a:t>
          </a:r>
        </a:p>
        <a:p>
          <a:r>
            <a:rPr lang="en-IN" sz="1400"/>
            <a:t>Food and Beverages, Fuel and Light, Health, Transport and Communication, and General Index.</a:t>
          </a:r>
        </a:p>
        <a:p>
          <a:r>
            <a:rPr lang="en-IN" sz="1400" b="1"/>
            <a:t>Period selection:</a:t>
          </a:r>
          <a:endParaRPr lang="en-IN" sz="1400"/>
        </a:p>
        <a:p>
          <a:pPr lvl="0"/>
          <a:r>
            <a:rPr lang="en-IN" sz="1400"/>
            <a:t>Pre-COVID: March 2019–February 2020 (12 months)</a:t>
          </a:r>
        </a:p>
        <a:p>
          <a:pPr lvl="0"/>
          <a:r>
            <a:rPr lang="en-IN" sz="1400"/>
            <a:t>COVID Onset: March 2020 (one month)</a:t>
          </a:r>
        </a:p>
        <a:p>
          <a:pPr lvl="0"/>
          <a:r>
            <a:rPr lang="en-IN" sz="1400"/>
            <a:t>Post-Onset: April 2020–March 2021 (12 months)</a:t>
          </a:r>
        </a:p>
        <a:p>
          <a:r>
            <a:rPr lang="en-IN" sz="1400" b="1"/>
            <a:t>Calculation:</a:t>
          </a:r>
          <a:endParaRPr lang="en-IN" sz="1400"/>
        </a:p>
        <a:p>
          <a:r>
            <a:rPr lang="en-IN" sz="1400"/>
            <a:t>YoY Inflation (%) = ((Current Month CPI / Same Month CPI in Previous Year) − 1) × 100</a:t>
          </a:r>
        </a:p>
        <a:p>
          <a:r>
            <a:rPr lang="en-IN" sz="1400"/>
            <a:t>The calculated monthly YoY rates were summarised using the average for each period. Missing April and May 2020 CPI values were estimated using the linear interpolation and midpoint averaging methods documented in the Null imputation sheet. These estimates were incorporated into the prepared dataset before analysis.</a:t>
          </a:r>
        </a:p>
        <a:p>
          <a:endParaRPr lang="en-IN" sz="1100"/>
        </a:p>
      </xdr:txBody>
    </xdr:sp>
    <xdr:clientData/>
  </xdr:oneCellAnchor>
  <xdr:oneCellAnchor>
    <xdr:from>
      <xdr:col>8</xdr:col>
      <xdr:colOff>441960</xdr:colOff>
      <xdr:row>66</xdr:row>
      <xdr:rowOff>30480</xdr:rowOff>
    </xdr:from>
    <xdr:ext cx="6225540" cy="3020250"/>
    <xdr:sp macro="" textlink="">
      <xdr:nvSpPr>
        <xdr:cNvPr id="5" name="TextBox 4">
          <a:extLst>
            <a:ext uri="{FF2B5EF4-FFF2-40B4-BE49-F238E27FC236}">
              <a16:creationId xmlns:a16="http://schemas.microsoft.com/office/drawing/2014/main" id="{07CD46F8-0399-118A-AA4B-DA55B870EEAA}"/>
            </a:ext>
          </a:extLst>
        </xdr:cNvPr>
        <xdr:cNvSpPr txBox="1"/>
      </xdr:nvSpPr>
      <xdr:spPr>
        <a:xfrm>
          <a:off x="8366760" y="9540240"/>
          <a:ext cx="6225540" cy="3020250"/>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Conclusion:</a:t>
          </a:r>
        </a:p>
        <a:p>
          <a:r>
            <a:rPr lang="en-IN" sz="1600"/>
            <a:t>The analysis reveals that inflation patterns varied across CPI categories around the onset of COVID-19. Transport and Communication experienced the largest increase in average year-on-year inflation in the selected post-onset period, while Health recorded a decline. Food and Beverages and Fuel and Light showed a temporary increase in March 2020 compared with their respective pre-COVID averages.</a:t>
          </a:r>
        </a:p>
        <a:p>
          <a:r>
            <a:rPr lang="en-IN" sz="1600"/>
            <a:t>These findings describe changes in the selected periods and do not establish that COVID-19 alone caused the observed movements. The analysis is limited to the selected categories, time windows, and available data, including estimated values for missing observations.</a:t>
          </a:r>
        </a:p>
        <a:p>
          <a:endParaRPr lang="en-IN"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2702420" cy="556260"/>
    <xdr:sp macro="" textlink="">
      <xdr:nvSpPr>
        <xdr:cNvPr id="2" name="TextBox 1">
          <a:extLst>
            <a:ext uri="{FF2B5EF4-FFF2-40B4-BE49-F238E27FC236}">
              <a16:creationId xmlns:a16="http://schemas.microsoft.com/office/drawing/2014/main" id="{EFFAC450-5BD4-458D-CCFB-C00031CAC54F}"/>
            </a:ext>
          </a:extLst>
        </xdr:cNvPr>
        <xdr:cNvSpPr txBox="1"/>
      </xdr:nvSpPr>
      <xdr:spPr>
        <a:xfrm>
          <a:off x="0" y="0"/>
          <a:ext cx="72702420" cy="556260"/>
        </a:xfrm>
        <a:prstGeom prst="rect">
          <a:avLst/>
        </a:prstGeom>
        <a:solidFill>
          <a:schemeClr val="tx2">
            <a:lumMod val="90000"/>
            <a:lumOff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u="none">
              <a:solidFill>
                <a:schemeClr val="tx1"/>
              </a:solidFill>
              <a:effectLst/>
              <a:latin typeface="+mn-lt"/>
              <a:ea typeface="+mn-ea"/>
              <a:cs typeface="+mn-cs"/>
            </a:rPr>
            <a:t>                                                                            </a:t>
          </a:r>
          <a:r>
            <a:rPr lang="en-IN" sz="2800" b="1" u="sng">
              <a:solidFill>
                <a:schemeClr val="bg1"/>
              </a:solidFill>
              <a:effectLst/>
              <a:latin typeface="+mn-lt"/>
              <a:ea typeface="+mn-ea"/>
              <a:cs typeface="+mn-cs"/>
            </a:rPr>
            <a:t>Impact</a:t>
          </a:r>
          <a:r>
            <a:rPr lang="en-IN" sz="2800" b="1" u="sng" baseline="0">
              <a:solidFill>
                <a:schemeClr val="bg1"/>
              </a:solidFill>
              <a:effectLst/>
              <a:latin typeface="+mn-lt"/>
              <a:ea typeface="+mn-ea"/>
              <a:cs typeface="+mn-cs"/>
            </a:rPr>
            <a:t> of Imported Crude Oil Price Fluctuations on Inflation (2021-2023)</a:t>
          </a:r>
          <a:endParaRPr lang="en-IN" sz="2800" u="sng">
            <a:solidFill>
              <a:schemeClr val="bg1"/>
            </a:solidFill>
          </a:endParaRPr>
        </a:p>
      </xdr:txBody>
    </xdr:sp>
    <xdr:clientData/>
  </xdr:oneCellAnchor>
  <xdr:twoCellAnchor>
    <xdr:from>
      <xdr:col>8</xdr:col>
      <xdr:colOff>1379220</xdr:colOff>
      <xdr:row>39</xdr:row>
      <xdr:rowOff>144780</xdr:rowOff>
    </xdr:from>
    <xdr:to>
      <xdr:col>17</xdr:col>
      <xdr:colOff>45720</xdr:colOff>
      <xdr:row>67</xdr:row>
      <xdr:rowOff>106680</xdr:rowOff>
    </xdr:to>
    <xdr:graphicFrame macro="">
      <xdr:nvGraphicFramePr>
        <xdr:cNvPr id="3" name="Chart 2">
          <a:extLst>
            <a:ext uri="{FF2B5EF4-FFF2-40B4-BE49-F238E27FC236}">
              <a16:creationId xmlns:a16="http://schemas.microsoft.com/office/drawing/2014/main" id="{6F1D70D4-F128-804E-D853-62F8DBFDA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579120</xdr:colOff>
      <xdr:row>40</xdr:row>
      <xdr:rowOff>76200</xdr:rowOff>
    </xdr:from>
    <xdr:to>
      <xdr:col>26</xdr:col>
      <xdr:colOff>137160</xdr:colOff>
      <xdr:row>65</xdr:row>
      <xdr:rowOff>137160</xdr:rowOff>
    </xdr:to>
    <xdr:graphicFrame macro="">
      <xdr:nvGraphicFramePr>
        <xdr:cNvPr id="5" name="Chart 4">
          <a:extLst>
            <a:ext uri="{FF2B5EF4-FFF2-40B4-BE49-F238E27FC236}">
              <a16:creationId xmlns:a16="http://schemas.microsoft.com/office/drawing/2014/main" id="{F187BB55-4979-0973-19AD-8754C3740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30480</xdr:colOff>
      <xdr:row>71</xdr:row>
      <xdr:rowOff>15240</xdr:rowOff>
    </xdr:from>
    <xdr:ext cx="8587740" cy="3962400"/>
    <xdr:sp macro="" textlink="">
      <xdr:nvSpPr>
        <xdr:cNvPr id="6" name="TextBox 5">
          <a:extLst>
            <a:ext uri="{FF2B5EF4-FFF2-40B4-BE49-F238E27FC236}">
              <a16:creationId xmlns:a16="http://schemas.microsoft.com/office/drawing/2014/main" id="{3BCA2D96-3469-5C9E-DE90-EFAD92A4BC58}"/>
            </a:ext>
          </a:extLst>
        </xdr:cNvPr>
        <xdr:cNvSpPr txBox="1"/>
      </xdr:nvSpPr>
      <xdr:spPr>
        <a:xfrm>
          <a:off x="1935480" y="12816840"/>
          <a:ext cx="8587740" cy="3962400"/>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Objective:</a:t>
          </a:r>
        </a:p>
        <a:p>
          <a:r>
            <a:rPr lang="en-IN" sz="1600"/>
            <a:t> To examine the relationship between month-on-month changes in the imported crude-oil price index and month-on-month changes in selected CPI categories.</a:t>
          </a:r>
        </a:p>
        <a:p>
          <a:r>
            <a:rPr lang="en-IN" sz="1600" b="1"/>
            <a:t>Dataset:</a:t>
          </a:r>
          <a:r>
            <a:rPr lang="en-IN" sz="1600"/>
            <a:t> </a:t>
          </a:r>
        </a:p>
        <a:p>
          <a:r>
            <a:rPr lang="en-IN" sz="1600"/>
            <a:t>Monthly crude-oil index data and Rural+Urban CPI data, using the overlapping period from January 2021 to May 2023.</a:t>
          </a:r>
        </a:p>
        <a:p>
          <a:r>
            <a:rPr lang="en-IN" sz="1600" b="1"/>
            <a:t>Calculation of monthly percentage change:</a:t>
          </a:r>
          <a:endParaRPr lang="en-IN" sz="1600"/>
        </a:p>
        <a:p>
          <a:r>
            <a:rPr lang="en-IN" sz="1600"/>
            <a:t>MoM Change (%) = ((Current Month Index / Previous Month Index) − 1) × 100</a:t>
          </a:r>
        </a:p>
        <a:p>
          <a:r>
            <a:rPr lang="en-IN" sz="1600" b="1"/>
            <a:t>Correlation analysis:</a:t>
          </a:r>
          <a:endParaRPr lang="en-IN" sz="1600"/>
        </a:p>
        <a:p>
          <a:r>
            <a:rPr lang="en-IN" sz="1600"/>
            <a:t>Excel's CORREL function was used to calculate the Pearson correlation coefficient between crude-oil monthly percentage changes and the corresponding CPI category monthly percentage changes.</a:t>
          </a:r>
        </a:p>
        <a:p>
          <a:r>
            <a:rPr lang="en-IN" sz="1600"/>
            <a:t>The coefficient ranges from −1 to +1. A positive coefficient indicates that the two variables tended to move in the same direction, while a negative coefficient indicates that they tended to move in opposite directions. A coefficient close to zero indicates little linear association in the selected sample.</a:t>
          </a:r>
        </a:p>
        <a:p>
          <a:r>
            <a:rPr lang="en-IN" sz="1600"/>
            <a:t>The analysis uses percentage changes rather than index levels to compare monthly movements. Correlation measures association and does not establish causation.</a:t>
          </a:r>
        </a:p>
        <a:p>
          <a:endParaRPr lang="en-IN" sz="1100"/>
        </a:p>
      </xdr:txBody>
    </xdr:sp>
    <xdr:clientData/>
  </xdr:oneCellAnchor>
  <xdr:oneCellAnchor>
    <xdr:from>
      <xdr:col>9</xdr:col>
      <xdr:colOff>480060</xdr:colOff>
      <xdr:row>82</xdr:row>
      <xdr:rowOff>38100</xdr:rowOff>
    </xdr:from>
    <xdr:ext cx="9060180" cy="2519216"/>
    <xdr:sp macro="" textlink="">
      <xdr:nvSpPr>
        <xdr:cNvPr id="7" name="TextBox 6">
          <a:extLst>
            <a:ext uri="{FF2B5EF4-FFF2-40B4-BE49-F238E27FC236}">
              <a16:creationId xmlns:a16="http://schemas.microsoft.com/office/drawing/2014/main" id="{DCAEF2F0-F26C-1256-BB8C-95A121BB3E63}"/>
            </a:ext>
          </a:extLst>
        </xdr:cNvPr>
        <xdr:cNvSpPr txBox="1"/>
      </xdr:nvSpPr>
      <xdr:spPr>
        <a:xfrm>
          <a:off x="10873740" y="14851380"/>
          <a:ext cx="9060180" cy="2519216"/>
        </a:xfrm>
        <a:prstGeom prst="rect">
          <a:avLst/>
        </a:prstGeom>
        <a:solidFill>
          <a:schemeClr val="tx2">
            <a:lumMod val="25000"/>
            <a:lumOff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Analysis :</a:t>
          </a:r>
        </a:p>
        <a:p>
          <a:r>
            <a:rPr lang="en-IN" sz="1600"/>
            <a:t>The correlation analysis indicates that the relationship between crude-oil price changes and CPI movements varies across categories. Oils and Fats and Meat and Fish show the strongest positive associations in the selected period, whereas Milk and Products and Cereals and Products show negative associations. Food and Beverages and the General Index have correlations close to zero.</a:t>
          </a:r>
        </a:p>
        <a:p>
          <a:r>
            <a:rPr lang="en-IN" sz="1600"/>
            <a:t>The results do not demonstrate that crude-oil price changes directly caused changes in CPI. Other economic factors, supply conditions, taxes, transport costs, seasonal effects, and category-specific pricing patterns may also influence CPI movements. The findings should therefore be interpreted as exploratory evidence of association within the selected period.</a:t>
          </a:r>
        </a:p>
        <a:p>
          <a:endParaRPr lang="en-IN" sz="1100"/>
        </a:p>
      </xdr:txBody>
    </xdr:sp>
    <xdr:clientData/>
  </xdr:oneCellAnchor>
  <xdr:oneCellAnchor>
    <xdr:from>
      <xdr:col>9</xdr:col>
      <xdr:colOff>708660</xdr:colOff>
      <xdr:row>71</xdr:row>
      <xdr:rowOff>0</xdr:rowOff>
    </xdr:from>
    <xdr:ext cx="6728460" cy="1668780"/>
    <xdr:sp macro="" textlink="">
      <xdr:nvSpPr>
        <xdr:cNvPr id="8" name="TextBox 7">
          <a:extLst>
            <a:ext uri="{FF2B5EF4-FFF2-40B4-BE49-F238E27FC236}">
              <a16:creationId xmlns:a16="http://schemas.microsoft.com/office/drawing/2014/main" id="{D5EE0A41-83C2-217C-BBC9-812422E9F26B}"/>
            </a:ext>
          </a:extLst>
        </xdr:cNvPr>
        <xdr:cNvSpPr txBox="1"/>
      </xdr:nvSpPr>
      <xdr:spPr>
        <a:xfrm>
          <a:off x="11102340" y="12801600"/>
          <a:ext cx="6728460" cy="166878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t>Bar chart: </a:t>
          </a:r>
        </a:p>
        <a:p>
          <a:r>
            <a:rPr lang="en-IN" sz="1600"/>
            <a:t>Compares crude-oil price changes with monthly CPI changes across 27 categories. </a:t>
          </a:r>
          <a:r>
            <a:rPr lang="en-IN" sz="1600" b="1"/>
            <a:t>Oils and Fats </a:t>
          </a:r>
          <a:r>
            <a:rPr lang="en-IN" sz="1600"/>
            <a:t>has the </a:t>
          </a:r>
          <a:r>
            <a:rPr lang="en-IN" sz="1600" b="1"/>
            <a:t>highest positive correlation (+0.441), </a:t>
          </a:r>
          <a:r>
            <a:rPr lang="en-IN" sz="1600"/>
            <a:t>followed by Meat and Fish (+0.397). </a:t>
          </a:r>
          <a:r>
            <a:rPr lang="en-IN" sz="1600" b="1"/>
            <a:t>Milk and Products </a:t>
          </a:r>
          <a:r>
            <a:rPr lang="en-IN" sz="1600"/>
            <a:t>has the </a:t>
          </a:r>
          <a:r>
            <a:rPr lang="en-IN" sz="1600" b="1"/>
            <a:t>strongest negative correlation (−0.295). </a:t>
          </a:r>
          <a:r>
            <a:rPr lang="en-IN" sz="1600"/>
            <a:t>The General Index correlation is only +0.055, indicating almost no linear relationship in the selected period.</a:t>
          </a:r>
        </a:p>
      </xdr:txBody>
    </xdr:sp>
    <xdr:clientData/>
  </xdr:oneCellAnchor>
  <xdr:oneCellAnchor>
    <xdr:from>
      <xdr:col>19</xdr:col>
      <xdr:colOff>716280</xdr:colOff>
      <xdr:row>67</xdr:row>
      <xdr:rowOff>137160</xdr:rowOff>
    </xdr:from>
    <xdr:ext cx="7597140" cy="1219308"/>
    <xdr:sp macro="" textlink="">
      <xdr:nvSpPr>
        <xdr:cNvPr id="9" name="TextBox 8">
          <a:extLst>
            <a:ext uri="{FF2B5EF4-FFF2-40B4-BE49-F238E27FC236}">
              <a16:creationId xmlns:a16="http://schemas.microsoft.com/office/drawing/2014/main" id="{DF941912-D737-F8C1-AE6C-1F4FC5DCEF5D}"/>
            </a:ext>
          </a:extLst>
        </xdr:cNvPr>
        <xdr:cNvSpPr txBox="1"/>
      </xdr:nvSpPr>
      <xdr:spPr>
        <a:xfrm>
          <a:off x="19514820" y="12207240"/>
          <a:ext cx="7597140" cy="1219308"/>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t>The scatter plot examines the relationship between monthly percentage changes in crude-oil prices and the Oils and Fats CPI category from January 2021 to May 2023. Its positive correlation of approximately +0.441 indicates a moderate tendency for both variables to move in the same direction</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175260</xdr:colOff>
      <xdr:row>12</xdr:row>
      <xdr:rowOff>121920</xdr:rowOff>
    </xdr:from>
    <xdr:ext cx="10668000" cy="5525423"/>
    <xdr:sp macro="" textlink="">
      <xdr:nvSpPr>
        <xdr:cNvPr id="2" name="TextBox 1">
          <a:extLst>
            <a:ext uri="{FF2B5EF4-FFF2-40B4-BE49-F238E27FC236}">
              <a16:creationId xmlns:a16="http://schemas.microsoft.com/office/drawing/2014/main" id="{9ADD18EC-1D0A-BA08-057E-0D1670B575E5}"/>
            </a:ext>
          </a:extLst>
        </xdr:cNvPr>
        <xdr:cNvSpPr txBox="1"/>
      </xdr:nvSpPr>
      <xdr:spPr>
        <a:xfrm>
          <a:off x="2004060" y="2316480"/>
          <a:ext cx="10668000" cy="5525423"/>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Purpose</a:t>
          </a:r>
          <a:endParaRPr lang="en-IN" sz="1600"/>
        </a:p>
        <a:p>
          <a:r>
            <a:rPr lang="en-IN" sz="1600"/>
            <a:t>This sheet documents the estimation of missing CPI values in the Rural+Urban dataset. The estimated values are used to fill the corresponding missing entries in the Rural+Urban Combined sheet for subsequent analysis.</a:t>
          </a:r>
        </a:p>
        <a:p>
          <a:r>
            <a:rPr lang="en-IN" sz="1600" b="1"/>
            <a:t>Methodology</a:t>
          </a:r>
          <a:endParaRPr lang="en-IN" sz="1600"/>
        </a:p>
        <a:p>
          <a:r>
            <a:rPr lang="en-IN" sz="1600"/>
            <a:t>Linear interpolation estimates missing values between known observations by assuming a constant rate of change over the interval.</a:t>
          </a:r>
        </a:p>
        <a:p>
          <a:r>
            <a:rPr lang="en-IN" sz="1600" b="1"/>
            <a:t>Case 1: One missing month</a:t>
          </a:r>
          <a:endParaRPr lang="en-IN" sz="1600"/>
        </a:p>
        <a:p>
          <a:r>
            <a:rPr lang="en-IN" sz="1600"/>
            <a:t>When one month is missing between two known monthly observations, the missing value is calculated using the average of the preceding and succeeding values.</a:t>
          </a:r>
        </a:p>
        <a:p>
          <a:r>
            <a:rPr lang="en-IN" sz="1600"/>
            <a:t>Excel formula:</a:t>
          </a:r>
        </a:p>
        <a:p>
          <a:r>
            <a:rPr lang="en-IN" sz="1600">
              <a:solidFill>
                <a:schemeClr val="tx1"/>
              </a:solidFill>
              <a:latin typeface="+mn-lt"/>
              <a:ea typeface="+mn-ea"/>
              <a:cs typeface="+mn-cs"/>
            </a:rPr>
            <a:t>=AVERAGE(previous_month_cell,next_month_cell)</a:t>
          </a:r>
          <a:endParaRPr lang="en-IN" sz="1600"/>
        </a:p>
        <a:p>
          <a:r>
            <a:rPr lang="en-IN" sz="1600" b="1"/>
            <a:t>Case 2: Two consecutive missing months</a:t>
          </a:r>
          <a:endParaRPr lang="en-IN" sz="1600"/>
        </a:p>
        <a:p>
          <a:r>
            <a:rPr lang="en-IN" sz="1600"/>
            <a:t>When April and May are missing between known March and June values, the interval is divided into three equal steps.</a:t>
          </a:r>
        </a:p>
        <a:p>
          <a:r>
            <a:rPr lang="en-IN" sz="1600"/>
            <a:t>For April:</a:t>
          </a:r>
        </a:p>
        <a:p>
          <a:r>
            <a:rPr lang="en-IN" sz="1600">
              <a:solidFill>
                <a:schemeClr val="tx1"/>
              </a:solidFill>
              <a:latin typeface="+mn-lt"/>
              <a:ea typeface="+mn-ea"/>
              <a:cs typeface="+mn-cs"/>
            </a:rPr>
            <a:t>=March_value+((June_value-March_value)/3)</a:t>
          </a:r>
          <a:endParaRPr lang="en-IN" sz="1600"/>
        </a:p>
        <a:p>
          <a:r>
            <a:rPr lang="en-IN" sz="1600"/>
            <a:t>For May:</a:t>
          </a:r>
        </a:p>
        <a:p>
          <a:r>
            <a:rPr lang="en-IN" sz="1600">
              <a:solidFill>
                <a:schemeClr val="tx1"/>
              </a:solidFill>
              <a:latin typeface="+mn-lt"/>
              <a:ea typeface="+mn-ea"/>
              <a:cs typeface="+mn-cs"/>
            </a:rPr>
            <a:t>=March_value+((June_value-March_value)*2/3)</a:t>
          </a:r>
          <a:endParaRPr lang="en-IN" sz="1600"/>
        </a:p>
        <a:p>
          <a:r>
            <a:rPr lang="en-IN" sz="1600"/>
            <a:t>These formulas estimate the missing values at one-third and two-thirds of the change between March and June, respectively.</a:t>
          </a:r>
        </a:p>
        <a:p>
          <a:r>
            <a:rPr lang="en-IN" sz="1600" b="1"/>
            <a:t>Application</a:t>
          </a:r>
          <a:endParaRPr lang="en-IN" sz="1600"/>
        </a:p>
        <a:p>
          <a:r>
            <a:rPr lang="en-IN" sz="1600"/>
            <a:t>The method was applied only to the category-month combinations requiring imputation. Values that were already available were retained. The resulting estimates were then used to fill the corresponding missing values in the Rural+Urban Combined dataset.</a:t>
          </a:r>
        </a:p>
        <a:p>
          <a:endParaRPr lang="en-IN" sz="1100"/>
        </a:p>
      </xdr:txBody>
    </xdr:sp>
    <xdr:clientData/>
  </xdr:oneCellAnchor>
  <xdr:oneCellAnchor>
    <xdr:from>
      <xdr:col>0</xdr:col>
      <xdr:colOff>0</xdr:colOff>
      <xdr:row>0</xdr:row>
      <xdr:rowOff>0</xdr:rowOff>
    </xdr:from>
    <xdr:ext cx="31371540" cy="556260"/>
    <xdr:sp macro="" textlink="">
      <xdr:nvSpPr>
        <xdr:cNvPr id="3" name="TextBox 2">
          <a:extLst>
            <a:ext uri="{FF2B5EF4-FFF2-40B4-BE49-F238E27FC236}">
              <a16:creationId xmlns:a16="http://schemas.microsoft.com/office/drawing/2014/main" id="{C4F5A17D-3691-0333-3CD7-5CE4270A2FD6}"/>
            </a:ext>
          </a:extLst>
        </xdr:cNvPr>
        <xdr:cNvSpPr txBox="1"/>
      </xdr:nvSpPr>
      <xdr:spPr>
        <a:xfrm>
          <a:off x="0" y="0"/>
          <a:ext cx="31371540" cy="55626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u="none">
              <a:solidFill>
                <a:schemeClr val="bg1"/>
              </a:solidFill>
              <a:effectLst/>
              <a:latin typeface="+mn-lt"/>
              <a:ea typeface="+mn-ea"/>
              <a:cs typeface="+mn-cs"/>
            </a:rPr>
            <a:t>                                                                              </a:t>
          </a:r>
          <a:r>
            <a:rPr lang="en-IN" sz="2400" b="1" u="sng">
              <a:solidFill>
                <a:schemeClr val="bg1"/>
              </a:solidFill>
              <a:effectLst/>
              <a:latin typeface="+mn-lt"/>
              <a:ea typeface="+mn-ea"/>
              <a:cs typeface="+mn-cs"/>
            </a:rPr>
            <a:t>Missing CPI Values — Linear Interpolation</a:t>
          </a:r>
          <a:endParaRPr lang="en-IN" sz="2400" u="sng">
            <a:solidFill>
              <a:schemeClr val="bg1"/>
            </a:solidFill>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685800</xdr:colOff>
      <xdr:row>11</xdr:row>
      <xdr:rowOff>38100</xdr:rowOff>
    </xdr:from>
    <xdr:ext cx="9258300" cy="3270767"/>
    <xdr:sp macro="" textlink="">
      <xdr:nvSpPr>
        <xdr:cNvPr id="2" name="TextBox 1">
          <a:extLst>
            <a:ext uri="{FF2B5EF4-FFF2-40B4-BE49-F238E27FC236}">
              <a16:creationId xmlns:a16="http://schemas.microsoft.com/office/drawing/2014/main" id="{3BD589D6-0E9C-C99A-AB71-76BFD27D2A24}"/>
            </a:ext>
          </a:extLst>
        </xdr:cNvPr>
        <xdr:cNvSpPr txBox="1"/>
      </xdr:nvSpPr>
      <xdr:spPr>
        <a:xfrm>
          <a:off x="2514600" y="2049780"/>
          <a:ext cx="9258300" cy="3270767"/>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Purpose</a:t>
          </a:r>
          <a:endParaRPr lang="en-IN" sz="1600"/>
        </a:p>
        <a:p>
          <a:r>
            <a:rPr lang="en-IN" sz="1600"/>
            <a:t>The original CPI source dataset does not contain an April 2019 row. This sheet estimates the missing April 2019 values for the Rural+Urban sector to complete the monthly sequence required for the analysis.</a:t>
          </a:r>
        </a:p>
        <a:p>
          <a:r>
            <a:rPr lang="en-IN" sz="1600" b="1"/>
            <a:t>Methodology: Linear Interpolation</a:t>
          </a:r>
          <a:endParaRPr lang="en-IN" sz="1600"/>
        </a:p>
        <a:p>
          <a:r>
            <a:rPr lang="en-IN" sz="1600"/>
            <a:t>Since March 2019 and May 2019 values are available, April 2019 is estimated by taking the average of the two surrounding monthly observations for each CPI category.</a:t>
          </a:r>
        </a:p>
        <a:p>
          <a:r>
            <a:rPr lang="en-IN" sz="1600"/>
            <a:t>Excel formula:</a:t>
          </a:r>
        </a:p>
        <a:p>
          <a:r>
            <a:rPr lang="en-IN" sz="1600">
              <a:solidFill>
                <a:schemeClr val="tx1"/>
              </a:solidFill>
              <a:latin typeface="+mn-lt"/>
              <a:ea typeface="+mn-ea"/>
              <a:cs typeface="+mn-cs"/>
            </a:rPr>
            <a:t>=AVERAGE(March_2019_cell,May_2019_cell)</a:t>
          </a:r>
          <a:endParaRPr lang="en-IN" sz="1600"/>
        </a:p>
        <a:p>
          <a:r>
            <a:rPr lang="en-IN" sz="1600" b="1"/>
            <a:t>Application</a:t>
          </a:r>
          <a:endParaRPr lang="en-IN" sz="1600"/>
        </a:p>
        <a:p>
          <a:r>
            <a:rPr lang="en-IN" sz="1600"/>
            <a:t>The estimated April 2019 row is incorporated into the prepared Rural+Urban dataset so that monthly records remain in chronological order. This supports calculations requiring the missing month's value, including annual-average inflation calculations.</a:t>
          </a:r>
        </a:p>
        <a:p>
          <a:endParaRPr lang="en-IN" sz="1100"/>
        </a:p>
      </xdr:txBody>
    </xdr:sp>
    <xdr:clientData/>
  </xdr:oneCellAnchor>
  <xdr:oneCellAnchor>
    <xdr:from>
      <xdr:col>0</xdr:col>
      <xdr:colOff>0</xdr:colOff>
      <xdr:row>0</xdr:row>
      <xdr:rowOff>0</xdr:rowOff>
    </xdr:from>
    <xdr:ext cx="14371320" cy="449580"/>
    <xdr:sp macro="" textlink="">
      <xdr:nvSpPr>
        <xdr:cNvPr id="3" name="TextBox 2">
          <a:extLst>
            <a:ext uri="{FF2B5EF4-FFF2-40B4-BE49-F238E27FC236}">
              <a16:creationId xmlns:a16="http://schemas.microsoft.com/office/drawing/2014/main" id="{27275E7B-EE98-73D3-9B54-A7B4885EC7A1}"/>
            </a:ext>
          </a:extLst>
        </xdr:cNvPr>
        <xdr:cNvSpPr txBox="1"/>
      </xdr:nvSpPr>
      <xdr:spPr>
        <a:xfrm>
          <a:off x="0" y="0"/>
          <a:ext cx="14371320" cy="44958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bg1"/>
              </a:solidFill>
              <a:effectLst/>
              <a:latin typeface="+mn-lt"/>
              <a:ea typeface="+mn-ea"/>
              <a:cs typeface="+mn-cs"/>
            </a:rPr>
            <a:t>                                                                                                 </a:t>
          </a:r>
          <a:r>
            <a:rPr lang="en-IN" sz="2000" b="1" u="sng">
              <a:solidFill>
                <a:schemeClr val="bg1"/>
              </a:solidFill>
              <a:effectLst/>
              <a:latin typeface="+mn-lt"/>
              <a:ea typeface="+mn-ea"/>
              <a:cs typeface="+mn-cs"/>
            </a:rPr>
            <a:t>Estimation of Missing April 2019 CPI Values</a:t>
          </a:r>
          <a:endParaRPr lang="en-IN" sz="2000" u="sng">
            <a:solidFill>
              <a:schemeClr val="bg1"/>
            </a:solidFill>
          </a:endParaRP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4036040" cy="381000"/>
    <xdr:sp macro="" textlink="">
      <xdr:nvSpPr>
        <xdr:cNvPr id="2" name="TextBox 1">
          <a:extLst>
            <a:ext uri="{FF2B5EF4-FFF2-40B4-BE49-F238E27FC236}">
              <a16:creationId xmlns:a16="http://schemas.microsoft.com/office/drawing/2014/main" id="{28AD26B8-7904-1276-98D6-E71C0D6141F5}"/>
            </a:ext>
          </a:extLst>
        </xdr:cNvPr>
        <xdr:cNvSpPr txBox="1"/>
      </xdr:nvSpPr>
      <xdr:spPr>
        <a:xfrm>
          <a:off x="0" y="0"/>
          <a:ext cx="14036040" cy="381000"/>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i="0">
              <a:solidFill>
                <a:schemeClr val="bg1"/>
              </a:solidFill>
              <a:effectLst/>
              <a:latin typeface="+mn-lt"/>
              <a:ea typeface="+mn-ea"/>
              <a:cs typeface="+mn-cs"/>
            </a:rPr>
            <a:t>                                                                   </a:t>
          </a:r>
          <a:r>
            <a:rPr lang="en-IN" sz="1800" b="1" i="0" u="sng">
              <a:solidFill>
                <a:schemeClr val="bg1"/>
              </a:solidFill>
              <a:effectLst/>
              <a:latin typeface="+mn-lt"/>
              <a:ea typeface="+mn-ea"/>
              <a:cs typeface="+mn-cs"/>
            </a:rPr>
            <a:t>I</a:t>
          </a:r>
          <a:r>
            <a:rPr lang="en-IN" sz="1800" b="1" u="sng">
              <a:solidFill>
                <a:schemeClr val="bg1"/>
              </a:solidFill>
              <a:effectLst/>
              <a:latin typeface="+mn-lt"/>
              <a:ea typeface="+mn-ea"/>
              <a:cs typeface="+mn-cs"/>
            </a:rPr>
            <a:t>mported Crude Oil Price Index – Monthly Trend and MoM Change, 2021–2023</a:t>
          </a:r>
          <a:endParaRPr lang="en-IN" sz="1800" b="1" u="sng">
            <a:solidFill>
              <a:schemeClr val="bg1"/>
            </a:solidFill>
            <a:effectLst/>
          </a:endParaRPr>
        </a:p>
        <a:p>
          <a:endParaRPr lang="en-IN" sz="1100"/>
        </a:p>
      </xdr:txBody>
    </xdr:sp>
    <xdr:clientData/>
  </xdr:oneCellAnchor>
  <xdr:oneCellAnchor>
    <xdr:from>
      <xdr:col>5</xdr:col>
      <xdr:colOff>502920</xdr:colOff>
      <xdr:row>6</xdr:row>
      <xdr:rowOff>60960</xdr:rowOff>
    </xdr:from>
    <xdr:ext cx="6797040" cy="3020250"/>
    <xdr:sp macro="" textlink="">
      <xdr:nvSpPr>
        <xdr:cNvPr id="3" name="TextBox 2">
          <a:extLst>
            <a:ext uri="{FF2B5EF4-FFF2-40B4-BE49-F238E27FC236}">
              <a16:creationId xmlns:a16="http://schemas.microsoft.com/office/drawing/2014/main" id="{A8D2543A-C6C2-235D-932F-4187F128E332}"/>
            </a:ext>
          </a:extLst>
        </xdr:cNvPr>
        <xdr:cNvSpPr txBox="1"/>
      </xdr:nvSpPr>
      <xdr:spPr>
        <a:xfrm>
          <a:off x="3451860" y="1158240"/>
          <a:ext cx="6797040" cy="30202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u="sng">
              <a:solidFill>
                <a:schemeClr val="tx1"/>
              </a:solidFill>
              <a:effectLst/>
              <a:latin typeface="+mn-lt"/>
              <a:ea typeface="+mn-ea"/>
              <a:cs typeface="+mn-cs"/>
            </a:rPr>
            <a:t>Data Description:</a:t>
          </a:r>
          <a:br>
            <a:rPr lang="en-IN" sz="1600" u="sng">
              <a:solidFill>
                <a:schemeClr val="tx1"/>
              </a:solidFill>
              <a:effectLst/>
              <a:latin typeface="+mn-lt"/>
              <a:ea typeface="+mn-ea"/>
              <a:cs typeface="+mn-cs"/>
            </a:rPr>
          </a:br>
          <a:r>
            <a:rPr lang="en-IN" sz="1600">
              <a:solidFill>
                <a:schemeClr val="tx1"/>
              </a:solidFill>
              <a:effectLst/>
              <a:latin typeface="+mn-lt"/>
              <a:ea typeface="+mn-ea"/>
              <a:cs typeface="+mn-cs"/>
            </a:rPr>
            <a:t>Monthly imported crude-oil price index data for </a:t>
          </a:r>
          <a:r>
            <a:rPr lang="en-IN" sz="1600" b="1">
              <a:solidFill>
                <a:schemeClr val="tx1"/>
              </a:solidFill>
              <a:effectLst/>
              <a:latin typeface="+mn-lt"/>
              <a:ea typeface="+mn-ea"/>
              <a:cs typeface="+mn-cs"/>
            </a:rPr>
            <a:t>2021–2023</a:t>
          </a:r>
          <a:r>
            <a:rPr lang="en-IN" sz="1600">
              <a:solidFill>
                <a:schemeClr val="tx1"/>
              </a:solidFill>
              <a:effectLst/>
              <a:latin typeface="+mn-lt"/>
              <a:ea typeface="+mn-ea"/>
              <a:cs typeface="+mn-cs"/>
            </a:rPr>
            <a:t> was obtained from IndexMundi as required for the analysis. The series represents the crude-oil price index with 2016 = 100 and is based on a simple average of Dated Brent, West Texas Intermediate (WTI), and Dubai Fateh crude-oil spot prices. The underlying source is the International Monetary Fund (IMF). The </a:t>
          </a:r>
          <a:r>
            <a:rPr lang="en-IN" sz="1600" b="1">
              <a:solidFill>
                <a:schemeClr val="tx1"/>
              </a:solidFill>
              <a:effectLst/>
              <a:latin typeface="+mn-lt"/>
              <a:ea typeface="+mn-ea"/>
              <a:cs typeface="+mn-cs"/>
            </a:rPr>
            <a:t>"Change" </a:t>
          </a:r>
          <a:r>
            <a:rPr lang="en-IN" sz="1600">
              <a:solidFill>
                <a:schemeClr val="tx1"/>
              </a:solidFill>
              <a:effectLst/>
              <a:latin typeface="+mn-lt"/>
              <a:ea typeface="+mn-ea"/>
              <a:cs typeface="+mn-cs"/>
            </a:rPr>
            <a:t>column represents the month-on-month percentage change in the crude-oil price index and is used to measure monthly fluctuations in international crude-oil prices.</a:t>
          </a:r>
          <a:endParaRPr lang="en-IN" sz="1600">
            <a:effectLst/>
          </a:endParaRPr>
        </a:p>
        <a:p>
          <a:r>
            <a:rPr lang="en-IN" sz="1600" b="1">
              <a:solidFill>
                <a:schemeClr val="tx1"/>
              </a:solidFill>
              <a:effectLst/>
              <a:latin typeface="+mn-lt"/>
              <a:ea typeface="+mn-ea"/>
              <a:cs typeface="+mn-cs"/>
            </a:rPr>
            <a:t>Source link:</a:t>
          </a:r>
          <a:endParaRPr lang="en-IN" sz="1600">
            <a:effectLst/>
          </a:endParaRPr>
        </a:p>
        <a:p>
          <a:r>
            <a:rPr lang="en-IN" sz="1600">
              <a:solidFill>
                <a:schemeClr val="tx1"/>
              </a:solidFill>
              <a:effectLst/>
              <a:latin typeface="+mn-lt"/>
              <a:ea typeface="+mn-ea"/>
              <a:cs typeface="+mn-cs"/>
            </a:rPr>
            <a:t>https://www.indexmundi.com/commodities/?commodity=petroleum-price-index&amp;months=120</a:t>
          </a:r>
          <a:endParaRPr lang="en-IN" sz="1600">
            <a:effectLst/>
          </a:endParaRPr>
        </a:p>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Verma" refreshedDate="46305.059729745371" createdVersion="8" refreshedVersion="8" minRefreshableVersion="3" recordCount="39" xr:uid="{ED8B50E2-7786-44DE-8168-2B7320CB2FFF}">
  <cacheSource type="worksheet">
    <worksheetSource name="Analysis_4"/>
  </cacheSource>
  <cacheFields count="21">
    <cacheField name="Sector" numFmtId="0">
      <sharedItems/>
    </cacheField>
    <cacheField name="Year" numFmtId="0">
      <sharedItems containsSemiMixedTypes="0" containsString="0" containsNumber="1" containsInteger="1" minValue="2018" maxValue="2021"/>
    </cacheField>
    <cacheField name="Month" numFmtId="0">
      <sharedItems/>
    </cacheField>
    <cacheField name="Month Number" numFmtId="0">
      <sharedItems containsSemiMixedTypes="0" containsString="0" containsNumber="1" containsInteger="1" minValue="1" maxValue="12"/>
    </cacheField>
    <cacheField name="Date" numFmtId="14">
      <sharedItems containsSemiMixedTypes="0" containsNonDate="0" containsDate="1" containsString="0" minDate="2018-01-01T00:00:00" maxDate="2021-03-02T00:00:00" count="39">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sharedItems>
    </cacheField>
    <cacheField name="COVID Period" numFmtId="0">
      <sharedItems count="3">
        <s v="Pre-COVID"/>
        <s v="COVID Onset"/>
        <s v="Post-COVID"/>
      </sharedItems>
    </cacheField>
    <cacheField name="Food and beverages" numFmtId="0">
      <sharedItems containsSemiMixedTypes="0" containsString="0" containsNumber="1" minValue="137.19999999999999" maxValue="165.4"/>
    </cacheField>
    <cacheField name="PY Food and beverages " numFmtId="0">
      <sharedItems containsString="0" containsBlank="1" containsNumber="1" minValue="137.19999999999999" maxValue="155"/>
    </cacheField>
    <cacheField name="YoY% Food and beverages" numFmtId="10">
      <sharedItems containsString="0" containsBlank="1" containsNumber="1" minValue="6.5597667638483959E-3" maxValue="0.12156295224312608" count="26">
        <m/>
        <n v="6.5597667638483959E-3"/>
        <n v="1.4545454545454639E-2"/>
        <n v="2.0275162925416534E-2"/>
        <n v="2.3672883787661192E-2"/>
        <n v="2.33380480905232E-2"/>
        <n v="2.9640084685956358E-2"/>
        <n v="4.7008547008547064E-2"/>
        <n v="7.0866141732283561E-2"/>
        <n v="8.7329992841804094E-2"/>
        <n v="0.12156295224312608"/>
        <n v="0.11717612809315869"/>
        <n v="9.4545454545454488E-2"/>
        <n v="7.8204199855177459E-2"/>
        <n v="8.5304659498207869E-2"/>
        <n v="8.3747338537970117E-2"/>
        <n v="7.9187105816398207E-2"/>
        <n v="6.4270905321354599E-2"/>
        <n v="7.6079506511309125E-2"/>
        <n v="7.4829931972789199E-2"/>
        <n v="7.8877005347593565E-2"/>
        <n v="8.4265964450296105E-2"/>
        <n v="6.7096774193548425E-2"/>
        <n v="4.8859934853420217E-2"/>
        <n v="4.2524916943521562E-2"/>
        <n v="5.2384150436534549E-2"/>
      </sharedItems>
    </cacheField>
    <cacheField name="Fuel and light" numFmtId="0">
      <sharedItems containsSemiMixedTypes="0" containsString="0" containsNumber="1" minValue="136.5" maxValue="155.5"/>
    </cacheField>
    <cacheField name="PY Fuel and light" numFmtId="0">
      <sharedItems containsString="0" containsBlank="1" containsNumber="1" minValue="136.5" maxValue="148.9"/>
    </cacheField>
    <cacheField name="YoY% Fuel and light" numFmtId="10">
      <sharedItems containsString="0" containsBlank="1" containsNumber="1" minValue="-3.2346868547832197E-2" maxValue="6.5855404438081688E-2" count="26">
        <m/>
        <n v="2.344322344322336E-2"/>
        <n v="2.564102564102555E-2"/>
        <n v="2.4835646457268101E-2"/>
        <n v="2.2447501810282322E-2"/>
        <n v="-2.8632784538294986E-3"/>
        <n v="-1.7033356990773685E-2"/>
        <n v="-2.1784961349262333E-2"/>
        <n v="-3.2346868547832197E-2"/>
        <n v="-1.9297036526533362E-2"/>
        <n v="7.0077084793271904E-3"/>
        <n v="3.6559139784946293E-2"/>
        <n v="6.3583815028901647E-2"/>
        <n v="6.5855404438081688E-2"/>
        <n v="2.9285714285714137E-2"/>
        <n v="1.9244476122594278E-2"/>
        <n v="4.9575070821530343E-3"/>
        <n v="1.8664752333094059E-2"/>
        <n v="3.2490974729241895E-2"/>
        <n v="2.6580459770115139E-2"/>
        <n v="1.7780938833570348E-2"/>
        <n v="9.1356289529163082E-3"/>
        <n v="6.2630480167014113E-3"/>
        <n v="2.2821576763485618E-2"/>
        <n v="3.5326086956521952E-2"/>
        <n v="4.4325050369375285E-2"/>
      </sharedItems>
    </cacheField>
    <cacheField name="Health" numFmtId="0">
      <sharedItems containsSemiMixedTypes="0" containsString="0" containsNumber="1" minValue="133.30000000000001" maxValue="161.69999999999999"/>
    </cacheField>
    <cacheField name="PY Health" numFmtId="0">
      <sharedItems containsString="0" containsBlank="1" containsNumber="1" minValue="134.30000000000001" maxValue="152.30000000000001"/>
    </cacheField>
    <cacheField name="YoY% Health" numFmtId="10">
      <sharedItems containsString="0" containsBlank="1" containsNumber="1" minValue="2.7967257844474736E-2" maxValue="8.8607594936708667E-2"/>
    </cacheField>
    <cacheField name="Transport and communication" numFmtId="0">
      <sharedItems containsSemiMixedTypes="0" containsString="0" containsNumber="1" minValue="119.3" maxValue="146.19999999999999"/>
    </cacheField>
    <cacheField name="PY Transport and communication" numFmtId="0">
      <sharedItems containsString="0" containsBlank="1" containsNumber="1" minValue="121" maxValue="130.9"/>
    </cacheField>
    <cacheField name="YoY% Transport and communication" numFmtId="10">
      <sharedItems containsString="0" containsBlank="1" containsNumber="1" minValue="7.9365079365079083E-4" maxValue="0.12548113933795224"/>
    </cacheField>
    <cacheField name="General index" numFmtId="0">
      <sharedItems containsSemiMixedTypes="0" containsString="0" containsNumber="1" minValue="136.4" maxValue="158.9"/>
    </cacheField>
    <cacheField name="PY General index" numFmtId="0">
      <sharedItems containsString="0" containsBlank="1" containsNumber="1" minValue="136.5" maxValue="150.4"/>
    </cacheField>
    <cacheField name="YoY% General index" numFmtId="10">
      <sharedItems containsString="0" containsBlank="1" containsNumber="1" minValue="2.8571428571428692E-2" maxValue="7.5931232091690504E-2"/>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s v="Rural+Urban"/>
    <n v="2018"/>
    <s v="January"/>
    <n v="1"/>
    <x v="0"/>
    <x v="0"/>
    <n v="139.19999999999999"/>
    <m/>
    <x v="0"/>
    <n v="136.6"/>
    <m/>
    <x v="0"/>
    <n v="133.30000000000001"/>
    <m/>
    <m/>
    <n v="119.3"/>
    <m/>
    <m/>
    <n v="136.9"/>
    <m/>
    <m/>
  </r>
  <r>
    <s v="Rural+Urban"/>
    <n v="2018"/>
    <s v="February"/>
    <n v="2"/>
    <x v="1"/>
    <x v="0"/>
    <n v="137.6"/>
    <m/>
    <x v="0"/>
    <n v="136.69999999999999"/>
    <m/>
    <x v="0"/>
    <n v="133.80000000000001"/>
    <m/>
    <m/>
    <n v="120.2"/>
    <m/>
    <m/>
    <n v="136.4"/>
    <m/>
    <m/>
  </r>
  <r>
    <s v="Rural+Urban"/>
    <n v="2018"/>
    <s v="March"/>
    <n v="3"/>
    <x v="2"/>
    <x v="0"/>
    <n v="137.19999999999999"/>
    <m/>
    <x v="0"/>
    <n v="136.5"/>
    <m/>
    <x v="0"/>
    <n v="134.30000000000001"/>
    <m/>
    <m/>
    <n v="121"/>
    <m/>
    <m/>
    <n v="136.5"/>
    <m/>
    <m/>
  </r>
  <r>
    <s v="Rural+Urban"/>
    <n v="2018"/>
    <s v="April"/>
    <n v="4"/>
    <x v="3"/>
    <x v="0"/>
    <n v="137.5"/>
    <m/>
    <x v="0"/>
    <n v="136.5"/>
    <m/>
    <x v="0"/>
    <n v="135.19999999999999"/>
    <m/>
    <m/>
    <n v="121.9"/>
    <m/>
    <m/>
    <n v="137.1"/>
    <m/>
    <m/>
  </r>
  <r>
    <s v="Rural+Urban"/>
    <n v="2018"/>
    <s v="May"/>
    <n v="5"/>
    <x v="4"/>
    <x v="0"/>
    <n v="138.1"/>
    <m/>
    <x v="0"/>
    <n v="136.9"/>
    <m/>
    <x v="0"/>
    <n v="136"/>
    <m/>
    <m/>
    <n v="122.9"/>
    <m/>
    <m/>
    <n v="137.80000000000001"/>
    <m/>
    <m/>
  </r>
  <r>
    <s v="Rural+Urban"/>
    <n v="2018"/>
    <s v="June"/>
    <n v="6"/>
    <x v="5"/>
    <x v="0"/>
    <n v="139.4"/>
    <m/>
    <x v="0"/>
    <n v="138.1"/>
    <m/>
    <x v="0"/>
    <n v="136.19999999999999"/>
    <m/>
    <m/>
    <n v="123.7"/>
    <m/>
    <m/>
    <n v="138.5"/>
    <m/>
    <m/>
  </r>
  <r>
    <s v="Rural+Urban"/>
    <n v="2018"/>
    <s v="July"/>
    <n v="7"/>
    <x v="6"/>
    <x v="0"/>
    <n v="141.4"/>
    <m/>
    <x v="0"/>
    <n v="139.69999999999999"/>
    <m/>
    <x v="0"/>
    <n v="137"/>
    <m/>
    <m/>
    <n v="123.6"/>
    <m/>
    <m/>
    <n v="139.80000000000001"/>
    <m/>
    <m/>
  </r>
  <r>
    <s v="Rural+Urban"/>
    <n v="2018"/>
    <s v="August"/>
    <n v="8"/>
    <x v="7"/>
    <x v="0"/>
    <n v="141.69999999999999"/>
    <m/>
    <x v="0"/>
    <n v="140.9"/>
    <m/>
    <x v="0"/>
    <n v="137.69999999999999"/>
    <m/>
    <m/>
    <n v="124.3"/>
    <m/>
    <m/>
    <n v="140.4"/>
    <m/>
    <m/>
  </r>
  <r>
    <s v="Rural+Urban"/>
    <n v="2018"/>
    <s v="September"/>
    <n v="9"/>
    <x v="8"/>
    <x v="0"/>
    <n v="140.4"/>
    <m/>
    <x v="0"/>
    <n v="142.30000000000001"/>
    <m/>
    <x v="0"/>
    <n v="138.4"/>
    <m/>
    <m/>
    <n v="126"/>
    <m/>
    <m/>
    <n v="140.19999999999999"/>
    <m/>
    <m/>
  </r>
  <r>
    <s v="Rural+Urban"/>
    <n v="2018"/>
    <s v="October"/>
    <n v="10"/>
    <x v="9"/>
    <x v="0"/>
    <n v="139.69999999999999"/>
    <m/>
    <x v="0"/>
    <n v="145.30000000000001"/>
    <m/>
    <x v="0"/>
    <n v="142.1"/>
    <m/>
    <m/>
    <n v="125.5"/>
    <m/>
    <m/>
    <n v="140.80000000000001"/>
    <m/>
    <m/>
  </r>
  <r>
    <s v="Rural+Urban"/>
    <n v="2018"/>
    <s v="November"/>
    <n v="11"/>
    <x v="10"/>
    <x v="0"/>
    <n v="139.69999999999999"/>
    <m/>
    <x v="0"/>
    <n v="145.1"/>
    <m/>
    <x v="0"/>
    <n v="142.1"/>
    <m/>
    <m/>
    <n v="125.5"/>
    <m/>
    <m/>
    <n v="140.80000000000001"/>
    <m/>
    <m/>
  </r>
  <r>
    <s v="Rural+Urban"/>
    <n v="2018"/>
    <s v="December"/>
    <n v="12"/>
    <x v="11"/>
    <x v="0"/>
    <n v="138.19999999999999"/>
    <m/>
    <x v="0"/>
    <n v="142.69999999999999"/>
    <m/>
    <x v="0"/>
    <n v="144.9"/>
    <m/>
    <m/>
    <n v="123.6"/>
    <m/>
    <m/>
    <n v="140.1"/>
    <m/>
    <m/>
  </r>
  <r>
    <s v="Rural+Urban"/>
    <n v="2019"/>
    <s v="January"/>
    <n v="1"/>
    <x v="12"/>
    <x v="0"/>
    <n v="137.4"/>
    <m/>
    <x v="0"/>
    <n v="139.5"/>
    <m/>
    <x v="0"/>
    <n v="145.1"/>
    <m/>
    <m/>
    <n v="123.3"/>
    <m/>
    <m/>
    <n v="139.6"/>
    <m/>
    <m/>
  </r>
  <r>
    <s v="Rural+Urban"/>
    <n v="2019"/>
    <s v="February"/>
    <n v="2"/>
    <x v="13"/>
    <x v="0"/>
    <n v="137.5"/>
    <m/>
    <x v="0"/>
    <n v="138.4"/>
    <m/>
    <x v="0"/>
    <n v="145.6"/>
    <m/>
    <m/>
    <n v="123.9"/>
    <m/>
    <m/>
    <n v="139.9"/>
    <m/>
    <m/>
  </r>
  <r>
    <s v="Rural+Urban"/>
    <n v="2019"/>
    <s v="March"/>
    <n v="3"/>
    <x v="14"/>
    <x v="0"/>
    <n v="138.1"/>
    <n v="137.19999999999999"/>
    <x v="1"/>
    <n v="139.69999999999999"/>
    <n v="136.5"/>
    <x v="1"/>
    <n v="146.19999999999999"/>
    <n v="134.30000000000001"/>
    <n v="8.8607594936708667E-2"/>
    <n v="124.6"/>
    <n v="121"/>
    <n v="2.9752066115702469E-2"/>
    <n v="140.4"/>
    <n v="136.5"/>
    <n v="2.8571428571428692E-2"/>
  </r>
  <r>
    <s v="Rural+Urban"/>
    <n v="2019"/>
    <s v="April"/>
    <n v="4"/>
    <x v="15"/>
    <x v="0"/>
    <n v="139.5"/>
    <n v="137.5"/>
    <x v="2"/>
    <n v="140"/>
    <n v="136.5"/>
    <x v="2"/>
    <n v="146.6"/>
    <n v="135.19999999999999"/>
    <n v="8.4319526627218977E-2"/>
    <n v="124.8"/>
    <n v="121.9"/>
    <n v="2.3789991796554499E-2"/>
    <n v="141.19999999999999"/>
    <n v="137.1"/>
    <n v="2.9905178701677526E-2"/>
  </r>
  <r>
    <s v="Rural+Urban"/>
    <n v="2019"/>
    <s v="May"/>
    <n v="5"/>
    <x v="16"/>
    <x v="0"/>
    <n v="140.9"/>
    <n v="138.1"/>
    <x v="3"/>
    <n v="140.30000000000001"/>
    <n v="136.9"/>
    <x v="3"/>
    <n v="146.9"/>
    <n v="136"/>
    <n v="8.0147058823529349E-2"/>
    <n v="124.9"/>
    <n v="122.9"/>
    <n v="1.6273393002441017E-2"/>
    <n v="142"/>
    <n v="137.80000000000001"/>
    <n v="3.0478955007256836E-2"/>
  </r>
  <r>
    <s v="Rural+Urban"/>
    <n v="2019"/>
    <s v="June"/>
    <n v="6"/>
    <x v="17"/>
    <x v="0"/>
    <n v="142.69999999999999"/>
    <n v="139.4"/>
    <x v="4"/>
    <n v="141.19999999999999"/>
    <n v="138.1"/>
    <x v="4"/>
    <n v="147.4"/>
    <n v="136.19999999999999"/>
    <n v="8.2232011747430445E-2"/>
    <n v="124.6"/>
    <n v="123.7"/>
    <n v="7.275666936135794E-3"/>
    <n v="142.9"/>
    <n v="138.5"/>
    <n v="3.1768953068592065E-2"/>
  </r>
  <r>
    <s v="Rural+Urban"/>
    <n v="2019"/>
    <s v="July"/>
    <n v="7"/>
    <x v="18"/>
    <x v="0"/>
    <n v="144.69999999999999"/>
    <n v="141.4"/>
    <x v="5"/>
    <n v="139.30000000000001"/>
    <n v="139.69999999999999"/>
    <x v="5"/>
    <n v="147.9"/>
    <n v="137"/>
    <n v="7.9562043795620374E-2"/>
    <n v="125.6"/>
    <n v="123.6"/>
    <n v="1.6181229773462702E-2"/>
    <n v="144.19999999999999"/>
    <n v="139.80000000000001"/>
    <n v="3.1473533619456262E-2"/>
  </r>
  <r>
    <s v="Rural+Urban"/>
    <n v="2019"/>
    <s v="August"/>
    <n v="8"/>
    <x v="19"/>
    <x v="0"/>
    <n v="145.9"/>
    <n v="141.69999999999999"/>
    <x v="6"/>
    <n v="138.5"/>
    <n v="140.9"/>
    <x v="6"/>
    <n v="148.5"/>
    <n v="137.69999999999999"/>
    <n v="7.8431372549019773E-2"/>
    <n v="125.8"/>
    <n v="124.3"/>
    <n v="1.2067578439259874E-2"/>
    <n v="145"/>
    <n v="140.4"/>
    <n v="3.2763532763532721E-2"/>
  </r>
  <r>
    <s v="Rural+Urban"/>
    <n v="2019"/>
    <s v="September"/>
    <n v="9"/>
    <x v="20"/>
    <x v="0"/>
    <n v="147"/>
    <n v="140.4"/>
    <x v="7"/>
    <n v="139.19999999999999"/>
    <n v="142.30000000000001"/>
    <x v="7"/>
    <n v="149"/>
    <n v="138.4"/>
    <n v="7.6589595375722519E-2"/>
    <n v="126.1"/>
    <n v="126"/>
    <n v="7.9365079365079083E-4"/>
    <n v="145.80000000000001"/>
    <n v="140.19999999999999"/>
    <n v="3.9942938659058624E-2"/>
  </r>
  <r>
    <s v="Rural+Urban"/>
    <n v="2019"/>
    <s v="October"/>
    <n v="10"/>
    <x v="21"/>
    <x v="0"/>
    <n v="149.6"/>
    <n v="139.69999999999999"/>
    <x v="8"/>
    <n v="140.6"/>
    <n v="145.30000000000001"/>
    <x v="8"/>
    <n v="149.4"/>
    <n v="142.1"/>
    <n v="5.1372273047149974E-2"/>
    <n v="126.3"/>
    <n v="125.5"/>
    <n v="6.3745019920318224E-3"/>
    <n v="147.19999999999999"/>
    <n v="140.80000000000001"/>
    <n v="4.5454545454545192E-2"/>
  </r>
  <r>
    <s v="Rural+Urban"/>
    <n v="2019"/>
    <s v="November"/>
    <n v="11"/>
    <x v="22"/>
    <x v="0"/>
    <n v="151.9"/>
    <n v="139.69999999999999"/>
    <x v="9"/>
    <n v="142.30000000000001"/>
    <n v="145.1"/>
    <x v="9"/>
    <n v="149.9"/>
    <n v="142.1"/>
    <n v="5.4890921885995869E-2"/>
    <n v="126.6"/>
    <n v="125.5"/>
    <n v="8.7649402390437281E-3"/>
    <n v="148.6"/>
    <n v="140.80000000000001"/>
    <n v="5.5397727272727071E-2"/>
  </r>
  <r>
    <s v="Rural+Urban"/>
    <n v="2019"/>
    <s v="December"/>
    <n v="12"/>
    <x v="23"/>
    <x v="0"/>
    <n v="155"/>
    <n v="138.19999999999999"/>
    <x v="10"/>
    <n v="143.69999999999999"/>
    <n v="142.69999999999999"/>
    <x v="10"/>
    <n v="150.4"/>
    <n v="144.9"/>
    <n v="3.7957211870255358E-2"/>
    <n v="129.80000000000001"/>
    <n v="123.6"/>
    <n v="5.0161812297734754E-2"/>
    <n v="150.4"/>
    <n v="140.1"/>
    <n v="7.3518915060670986E-2"/>
  </r>
  <r>
    <s v="Rural+Urban"/>
    <n v="2020"/>
    <s v="January"/>
    <n v="1"/>
    <x v="24"/>
    <x v="0"/>
    <n v="153.5"/>
    <n v="137.4"/>
    <x v="11"/>
    <n v="144.6"/>
    <n v="139.5"/>
    <x v="11"/>
    <n v="151.19999999999999"/>
    <n v="145.1"/>
    <n v="4.2039972432804884E-2"/>
    <n v="130.9"/>
    <n v="123.3"/>
    <n v="6.1638280616382879E-2"/>
    <n v="150.19999999999999"/>
    <n v="139.6"/>
    <n v="7.5931232091690504E-2"/>
  </r>
  <r>
    <s v="Rural+Urban"/>
    <n v="2020"/>
    <s v="February"/>
    <n v="2"/>
    <x v="25"/>
    <x v="0"/>
    <n v="150.5"/>
    <n v="137.5"/>
    <x v="12"/>
    <n v="147.19999999999999"/>
    <n v="138.4"/>
    <x v="12"/>
    <n v="151.69999999999999"/>
    <n v="145.6"/>
    <n v="4.1895604395604469E-2"/>
    <n v="130.30000000000001"/>
    <n v="123.9"/>
    <n v="5.1654560129136495E-2"/>
    <n v="149.1"/>
    <n v="139.9"/>
    <n v="6.5761258041458159E-2"/>
  </r>
  <r>
    <s v="Rural+Urban"/>
    <n v="2020"/>
    <s v="March"/>
    <n v="3"/>
    <x v="26"/>
    <x v="1"/>
    <n v="148.9"/>
    <n v="138.1"/>
    <x v="13"/>
    <n v="148.9"/>
    <n v="139.69999999999999"/>
    <x v="13"/>
    <n v="152.30000000000001"/>
    <n v="146.19999999999999"/>
    <n v="4.1723666210670363E-2"/>
    <n v="129.9"/>
    <n v="124.6"/>
    <n v="4.2536115569823618E-2"/>
    <n v="148.6"/>
    <n v="140.4"/>
    <n v="5.8404558404558271E-2"/>
  </r>
  <r>
    <s v="Rural+Urban"/>
    <n v="2020"/>
    <s v="April"/>
    <n v="4"/>
    <x v="27"/>
    <x v="2"/>
    <n v="151.4"/>
    <n v="139.5"/>
    <x v="14"/>
    <n v="144.1"/>
    <n v="140"/>
    <x v="14"/>
    <n v="150.69999999999999"/>
    <n v="146.6"/>
    <n v="2.7967257844474736E-2"/>
    <n v="131.6"/>
    <n v="124.8"/>
    <n v="5.4487179487179516E-2"/>
    <n v="149.69999999999999"/>
    <n v="141.19999999999999"/>
    <n v="6.019830028328621E-2"/>
  </r>
  <r>
    <s v="Rural+Urban"/>
    <n v="2020"/>
    <s v="May"/>
    <n v="5"/>
    <x v="28"/>
    <x v="2"/>
    <n v="152.69999999999999"/>
    <n v="140.9"/>
    <x v="15"/>
    <n v="143"/>
    <n v="140.30000000000001"/>
    <x v="15"/>
    <n v="152.6"/>
    <n v="146.9"/>
    <n v="3.8801906058543167E-2"/>
    <n v="133.30000000000001"/>
    <n v="124.9"/>
    <n v="6.7253803042433891E-2"/>
    <n v="150.69999999999999"/>
    <n v="142"/>
    <n v="6.1267605633802846E-2"/>
  </r>
  <r>
    <s v="Rural+Urban"/>
    <n v="2020"/>
    <s v="June"/>
    <n v="6"/>
    <x v="29"/>
    <x v="2"/>
    <n v="154"/>
    <n v="142.69999999999999"/>
    <x v="16"/>
    <n v="141.9"/>
    <n v="141.19999999999999"/>
    <x v="16"/>
    <n v="154.4"/>
    <n v="147.4"/>
    <n v="4.7489823609226489E-2"/>
    <n v="135"/>
    <n v="124.6"/>
    <n v="8.3467094703049804E-2"/>
    <n v="151.80000000000001"/>
    <n v="142.9"/>
    <n v="6.2281315605318355E-2"/>
  </r>
  <r>
    <s v="Rural+Urban"/>
    <n v="2020"/>
    <s v="July"/>
    <n v="7"/>
    <x v="30"/>
    <x v="2"/>
    <n v="154"/>
    <n v="144.69999999999999"/>
    <x v="17"/>
    <n v="141.9"/>
    <n v="139.30000000000001"/>
    <x v="17"/>
    <n v="154.4"/>
    <n v="147.9"/>
    <n v="4.3948613928330049E-2"/>
    <n v="135"/>
    <n v="125.6"/>
    <n v="7.4840764331210341E-2"/>
    <n v="151.80000000000001"/>
    <n v="144.19999999999999"/>
    <n v="5.2704576976421835E-2"/>
  </r>
  <r>
    <s v="Rural+Urban"/>
    <n v="2020"/>
    <s v="August"/>
    <n v="8"/>
    <x v="31"/>
    <x v="2"/>
    <n v="157"/>
    <n v="145.9"/>
    <x v="18"/>
    <n v="143"/>
    <n v="138.5"/>
    <x v="18"/>
    <n v="155"/>
    <n v="148.5"/>
    <n v="4.3771043771043683E-2"/>
    <n v="138.5"/>
    <n v="125.8"/>
    <n v="0.10095389507154207"/>
    <n v="153.9"/>
    <n v="145"/>
    <n v="6.1379310344827687E-2"/>
  </r>
  <r>
    <s v="Rural+Urban"/>
    <n v="2020"/>
    <s v="September"/>
    <n v="9"/>
    <x v="32"/>
    <x v="2"/>
    <n v="158"/>
    <n v="147"/>
    <x v="19"/>
    <n v="142.9"/>
    <n v="139.19999999999999"/>
    <x v="19"/>
    <n v="155.6"/>
    <n v="149"/>
    <n v="4.4295302013422688E-2"/>
    <n v="139.6"/>
    <n v="126.1"/>
    <n v="0.10705789056304527"/>
    <n v="154.69999999999999"/>
    <n v="145.80000000000001"/>
    <n v="6.104252400548682E-2"/>
  </r>
  <r>
    <s v="Rural+Urban"/>
    <n v="2020"/>
    <s v="October"/>
    <n v="10"/>
    <x v="33"/>
    <x v="2"/>
    <n v="161.4"/>
    <n v="149.6"/>
    <x v="20"/>
    <n v="143.1"/>
    <n v="140.6"/>
    <x v="20"/>
    <n v="156.30000000000001"/>
    <n v="149.4"/>
    <n v="4.6184738955823423E-2"/>
    <n v="140.6"/>
    <n v="126.3"/>
    <n v="0.11322248614410135"/>
    <n v="156.4"/>
    <n v="147.19999999999999"/>
    <n v="6.2500000000000222E-2"/>
  </r>
  <r>
    <s v="Rural+Urban"/>
    <n v="2020"/>
    <s v="November"/>
    <n v="11"/>
    <x v="34"/>
    <x v="2"/>
    <n v="164.7"/>
    <n v="151.9"/>
    <x v="21"/>
    <n v="143.6"/>
    <n v="142.30000000000001"/>
    <x v="21"/>
    <n v="157.19999999999999"/>
    <n v="149.9"/>
    <n v="4.8699132755170016E-2"/>
    <n v="140.4"/>
    <n v="126.6"/>
    <n v="0.10900473933649302"/>
    <n v="158.4"/>
    <n v="148.6"/>
    <n v="6.5948855989232946E-2"/>
  </r>
  <r>
    <s v="Rural+Urban"/>
    <n v="2020"/>
    <s v="December"/>
    <n v="12"/>
    <x v="35"/>
    <x v="2"/>
    <n v="165.4"/>
    <n v="155"/>
    <x v="22"/>
    <n v="144.6"/>
    <n v="143.69999999999999"/>
    <x v="22"/>
    <n v="158.30000000000001"/>
    <n v="150.4"/>
    <n v="5.2526595744680993E-2"/>
    <n v="140.69999999999999"/>
    <n v="129.80000000000001"/>
    <n v="8.397534668721085E-2"/>
    <n v="158.9"/>
    <n v="150.4"/>
    <n v="5.6515957446808596E-2"/>
  </r>
  <r>
    <s v="Rural+Urban"/>
    <n v="2021"/>
    <s v="January"/>
    <n v="1"/>
    <x v="36"/>
    <x v="2"/>
    <n v="161"/>
    <n v="153.5"/>
    <x v="23"/>
    <n v="147.9"/>
    <n v="144.6"/>
    <x v="23"/>
    <n v="159.30000000000001"/>
    <n v="151.19999999999999"/>
    <n v="5.3571428571428825E-2"/>
    <n v="141.9"/>
    <n v="130.9"/>
    <n v="8.4033613445378075E-2"/>
    <n v="157.30000000000001"/>
    <n v="150.19999999999999"/>
    <n v="4.7270306258322403E-2"/>
  </r>
  <r>
    <s v="Rural+Urban"/>
    <n v="2021"/>
    <s v="February"/>
    <n v="2"/>
    <x v="37"/>
    <x v="2"/>
    <n v="156.9"/>
    <n v="150.5"/>
    <x v="24"/>
    <n v="152.4"/>
    <n v="147.19999999999999"/>
    <x v="24"/>
    <n v="161.30000000000001"/>
    <n v="151.69999999999999"/>
    <n v="6.3282794990112246E-2"/>
    <n v="145.1"/>
    <n v="130.30000000000001"/>
    <n v="0.11358403683806584"/>
    <n v="156.6"/>
    <n v="149.1"/>
    <n v="5.0301810865191143E-2"/>
  </r>
  <r>
    <s v="Rural+Urban"/>
    <n v="2021"/>
    <s v="March"/>
    <n v="3"/>
    <x v="38"/>
    <x v="2"/>
    <n v="156.69999999999999"/>
    <n v="148.9"/>
    <x v="25"/>
    <n v="155.5"/>
    <n v="148.9"/>
    <x v="25"/>
    <n v="161.69999999999999"/>
    <n v="152.30000000000001"/>
    <n v="6.1720288903479803E-2"/>
    <n v="146.19999999999999"/>
    <n v="129.9"/>
    <n v="0.12548113933795224"/>
    <n v="156.80000000000001"/>
    <n v="148.6"/>
    <n v="5.51816958277255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662E55-F31B-4867-97B6-05EEF25E9469}" name="PivotTable1" cacheId="849" dataOnRows="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D47:G53" firstHeaderRow="1" firstDataRow="2" firstDataCol="1" rowPageCount="1" colPageCount="1"/>
  <pivotFields count="21">
    <pivotField showAll="0"/>
    <pivotField showAll="0"/>
    <pivotField showAll="0"/>
    <pivotField showAll="0"/>
    <pivotField axis="axisPage" numFmtId="14" multipleItemSelectionAllowed="1" showAll="0">
      <items count="40">
        <item h="1" x="0"/>
        <item h="1" x="1"/>
        <item h="1" x="2"/>
        <item h="1" x="3"/>
        <item h="1" x="4"/>
        <item h="1" x="5"/>
        <item h="1" x="6"/>
        <item h="1" x="7"/>
        <item h="1" x="8"/>
        <item h="1" x="9"/>
        <item h="1" x="10"/>
        <item h="1" x="11"/>
        <item h="1" x="12"/>
        <item h="1" x="13"/>
        <item x="14"/>
        <item x="15"/>
        <item x="16"/>
        <item x="17"/>
        <item x="18"/>
        <item x="19"/>
        <item x="20"/>
        <item x="21"/>
        <item x="22"/>
        <item x="23"/>
        <item x="24"/>
        <item x="25"/>
        <item x="26"/>
        <item x="27"/>
        <item x="28"/>
        <item x="29"/>
        <item x="30"/>
        <item x="31"/>
        <item x="32"/>
        <item x="33"/>
        <item x="34"/>
        <item x="35"/>
        <item x="36"/>
        <item x="37"/>
        <item x="38"/>
        <item t="default"/>
      </items>
    </pivotField>
    <pivotField axis="axisCol" showAll="0">
      <items count="4">
        <item x="0"/>
        <item x="1"/>
        <item x="2"/>
        <item t="default"/>
      </items>
    </pivotField>
    <pivotField showAll="0"/>
    <pivotField showAll="0"/>
    <pivotField dataField="1" showAll="0" defaultSubtotal="0">
      <items count="26">
        <item x="1"/>
        <item x="2"/>
        <item x="3"/>
        <item x="5"/>
        <item x="4"/>
        <item x="6"/>
        <item x="24"/>
        <item x="7"/>
        <item x="23"/>
        <item x="25"/>
        <item x="17"/>
        <item x="22"/>
        <item x="8"/>
        <item x="19"/>
        <item x="18"/>
        <item x="13"/>
        <item x="20"/>
        <item x="16"/>
        <item x="15"/>
        <item x="21"/>
        <item x="14"/>
        <item x="9"/>
        <item x="12"/>
        <item x="11"/>
        <item x="10"/>
        <item x="0"/>
      </items>
    </pivotField>
    <pivotField showAll="0"/>
    <pivotField showAll="0"/>
    <pivotField dataField="1" showAll="0">
      <items count="27">
        <item x="8"/>
        <item x="7"/>
        <item x="9"/>
        <item x="6"/>
        <item x="5"/>
        <item x="16"/>
        <item x="22"/>
        <item x="10"/>
        <item x="21"/>
        <item x="20"/>
        <item x="17"/>
        <item x="15"/>
        <item x="4"/>
        <item x="23"/>
        <item x="1"/>
        <item x="3"/>
        <item x="2"/>
        <item x="19"/>
        <item x="14"/>
        <item x="18"/>
        <item x="24"/>
        <item x="11"/>
        <item x="25"/>
        <item x="12"/>
        <item x="13"/>
        <item x="0"/>
        <item t="default"/>
      </items>
    </pivotField>
    <pivotField showAll="0"/>
    <pivotField showAll="0"/>
    <pivotField dataField="1" showAll="0"/>
    <pivotField showAll="0"/>
    <pivotField showAll="0"/>
    <pivotField dataField="1" showAll="0"/>
    <pivotField showAll="0"/>
    <pivotField showAll="0"/>
    <pivotField dataField="1" showAll="0"/>
  </pivotFields>
  <rowFields count="1">
    <field x="-2"/>
  </rowFields>
  <rowItems count="5">
    <i>
      <x/>
    </i>
    <i i="1">
      <x v="1"/>
    </i>
    <i i="2">
      <x v="2"/>
    </i>
    <i i="3">
      <x v="3"/>
    </i>
    <i i="4">
      <x v="4"/>
    </i>
  </rowItems>
  <colFields count="1">
    <field x="5"/>
  </colFields>
  <colItems count="3">
    <i>
      <x/>
    </i>
    <i>
      <x v="1"/>
    </i>
    <i>
      <x v="2"/>
    </i>
  </colItems>
  <pageFields count="1">
    <pageField fld="4" hier="-1"/>
  </pageFields>
  <dataFields count="5">
    <dataField name="Average of YoY% Food and beverages" fld="8" subtotal="average" baseField="11" baseItem="0"/>
    <dataField name="Average of YoY% Fuel and light" fld="11" subtotal="average" baseField="5" baseItem="0"/>
    <dataField name="Average of YoY% Health" fld="14" subtotal="average" baseField="5" baseItem="0"/>
    <dataField name="Average of YoY% Transport and communication" fld="17" subtotal="average" baseField="5" baseItem="0"/>
    <dataField name="Average of YoY% General index" fld="20" subtotal="average" baseField="5" baseItem="0"/>
  </dataFields>
  <formats count="1">
    <format dxfId="130">
      <pivotArea outline="0" collapsedLevelsAreSubtotals="1" fieldPosition="0"/>
    </format>
  </formats>
  <chartFormats count="3">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98A341-7E26-47C9-B82C-E7179490870D}"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182ABB1-1507-43DA-BAE0-24335C77CDC6}" autoFormatId="16" applyNumberFormats="0" applyBorderFormats="0" applyFontFormats="0" applyPatternFormats="0" applyAlignmentFormats="0" applyWidthHeightFormats="0">
  <queryTableRefresh nextId="33">
    <queryTableFields count="32">
      <queryTableField id="1" name="Sector" tableColumnId="1"/>
      <queryTableField id="2" name="Year" tableColumnId="2"/>
      <queryTableField id="3" name="Month" tableColumnId="3"/>
      <queryTableField id="4" name="Month Number" tableColumnId="4"/>
      <queryTableField id="5" name="Date" tableColumnId="5"/>
      <queryTableField id="6" name="Cereals and products" tableColumnId="6"/>
      <queryTableField id="7" name="Meat and fish" tableColumnId="7"/>
      <queryTableField id="8" name="Egg" tableColumnId="8"/>
      <queryTableField id="9" name="Milk and products" tableColumnId="9"/>
      <queryTableField id="10" name="Oils and fats" tableColumnId="10"/>
      <queryTableField id="11" name="Fruits" tableColumnId="11"/>
      <queryTableField id="12" name="Vegetables" tableColumnId="12"/>
      <queryTableField id="13" name="Pulses and products" tableColumnId="13"/>
      <queryTableField id="14" name="Sugar and Confectionery" tableColumnId="14"/>
      <queryTableField id="15" name="Spices" tableColumnId="15"/>
      <queryTableField id="16" name="Non-alcoholic beverages" tableColumnId="16"/>
      <queryTableField id="17" name="Prepared meals, snacks, sweets etc." tableColumnId="17"/>
      <queryTableField id="18" name="Food and beverages" tableColumnId="18"/>
      <queryTableField id="19" name="Pan, tobacco and intoxicants" tableColumnId="19"/>
      <queryTableField id="20" name="Clothing" tableColumnId="20"/>
      <queryTableField id="21" name="Footwear" tableColumnId="21"/>
      <queryTableField id="22" name="Clothing and footwear" tableColumnId="22"/>
      <queryTableField id="23" name="Housing" tableColumnId="23"/>
      <queryTableField id="24" name="Fuel and light" tableColumnId="24"/>
      <queryTableField id="25" name="Household goods and services" tableColumnId="25"/>
      <queryTableField id="26" name="Health" tableColumnId="26"/>
      <queryTableField id="27" name="Transport and communication" tableColumnId="27"/>
      <queryTableField id="28" name="Recreation and amusement" tableColumnId="28"/>
      <queryTableField id="29" name="Education" tableColumnId="29"/>
      <queryTableField id="30" name="Personal care and effects" tableColumnId="30"/>
      <queryTableField id="31" name="Miscellaneous" tableColumnId="31"/>
      <queryTableField id="32" name="General index" tableColumnId="3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3EF85A99-B38E-4CD3-B2EE-EFBFCE7B08C1}" autoFormatId="16" applyNumberFormats="0" applyBorderFormats="0" applyFontFormats="0" applyPatternFormats="0" applyAlignmentFormats="0" applyWidthHeightFormats="0">
  <queryTableRefresh nextId="36" unboundColumnsRight="1">
    <queryTableFields count="5">
      <queryTableField id="1" name="Sector" tableColumnId="1"/>
      <queryTableField id="5" name="Date" tableColumnId="5"/>
      <queryTableField id="33" name="Attribute" tableColumnId="33"/>
      <queryTableField id="34" name="Value" tableColumnId="34"/>
      <queryTableField id="35" dataBound="0" tableColumnId="3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B5F458AC-1D57-4E58-8FF6-92203E6578E1}" autoFormatId="16" applyNumberFormats="0" applyBorderFormats="0" applyFontFormats="0" applyPatternFormats="0" applyAlignmentFormats="0" applyWidthHeightFormats="0">
  <queryTableRefresh nextId="4" unboundColumnsRight="1">
    <queryTableFields count="3">
      <queryTableField id="1" name="Year" tableColumnId="1"/>
      <queryTableField id="2" name="Average General index" tableColumnId="2"/>
      <queryTableField id="3" dataBound="0"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5" xr16:uid="{B470D865-14A5-4406-8126-8A93B3F9C632}" autoFormatId="16" applyNumberFormats="0" applyBorderFormats="0" applyFontFormats="0" applyPatternFormats="0" applyAlignmentFormats="0" applyWidthHeightFormats="0">
  <queryTableRefresh nextId="20">
    <queryTableFields count="18">
      <queryTableField id="1" name="Sector" tableColumnId="1"/>
      <queryTableField id="2" name="Year" tableColumnId="2"/>
      <queryTableField id="3" name="Month" tableColumnId="3"/>
      <queryTableField id="4" name="Month Number" tableColumnId="4"/>
      <queryTableField id="5" name="Date" tableColumnId="5"/>
      <queryTableField id="18" name="Food and beverages" tableColumnId="18"/>
      <queryTableField id="6" name="Cereals and products" tableColumnId="6"/>
      <queryTableField id="7" name="Meat and fish" tableColumnId="7"/>
      <queryTableField id="8" name="Egg" tableColumnId="8"/>
      <queryTableField id="9" name="Milk and products" tableColumnId="9"/>
      <queryTableField id="10" name="Oils and fats" tableColumnId="10"/>
      <queryTableField id="11" name="Fruits" tableColumnId="11"/>
      <queryTableField id="12" name="Vegetables" tableColumnId="12"/>
      <queryTableField id="13" name="Pulses and products" tableColumnId="13"/>
      <queryTableField id="14" name="Sugar and Confectionery" tableColumnId="14"/>
      <queryTableField id="15" name="Spices" tableColumnId="15"/>
      <queryTableField id="16" name="Non alcoholic beverages" tableColumnId="16"/>
      <queryTableField id="17" name="Prepared meals, snacks, sweets etc" tableColumnId="1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6" xr16:uid="{F88E7FA0-42DD-4B96-A33B-36979E851017}" autoFormatId="16" applyNumberFormats="0" applyBorderFormats="0" applyFontFormats="0" applyPatternFormats="0" applyAlignmentFormats="0" applyWidthHeightFormats="0">
  <queryTableRefresh nextId="22" unboundColumnsRight="2">
    <queryTableFields count="21">
      <queryTableField id="1" name="Sector" tableColumnId="1"/>
      <queryTableField id="2" name="Year" tableColumnId="2"/>
      <queryTableField id="3" name="Month" tableColumnId="3"/>
      <queryTableField id="4" name="Month Number" tableColumnId="4"/>
      <queryTableField id="5" name="Date" tableColumnId="5"/>
      <queryTableField id="6" name="COVID Period" tableColumnId="6"/>
      <queryTableField id="7" name="Food and beverages" tableColumnId="7"/>
      <queryTableField id="12" dataBound="0" tableColumnId="12"/>
      <queryTableField id="13" dataBound="0" tableColumnId="13"/>
      <queryTableField id="8" name="Fuel and light" tableColumnId="8"/>
      <queryTableField id="14" dataBound="0" tableColumnId="14"/>
      <queryTableField id="15" dataBound="0" tableColumnId="15"/>
      <queryTableField id="9" name="Health" tableColumnId="9"/>
      <queryTableField id="16" dataBound="0" tableColumnId="16"/>
      <queryTableField id="17" dataBound="0" tableColumnId="17"/>
      <queryTableField id="10" name="Transport and communication" tableColumnId="10"/>
      <queryTableField id="18" dataBound="0" tableColumnId="18"/>
      <queryTableField id="19" dataBound="0" tableColumnId="19"/>
      <queryTableField id="11" name="General index" tableColumnId="11"/>
      <queryTableField id="20" dataBound="0" tableColumnId="20"/>
      <queryTableField id="21" dataBound="0" tableColumnId="2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7" xr16:uid="{E0425CDE-B9D1-435D-B96D-9DF87F79DB2F}" autoFormatId="16" applyNumberFormats="0" applyBorderFormats="0" applyFontFormats="0" applyPatternFormats="0" applyAlignmentFormats="0" applyWidthHeightFormats="0">
  <queryTableRefresh nextId="66" unboundColumnsRight="1">
    <queryTableFields count="61">
      <queryTableField id="1" name="Sector" tableColumnId="1"/>
      <queryTableField id="2" name="Year" tableColumnId="2"/>
      <queryTableField id="3" name="Month" tableColumnId="3"/>
      <queryTableField id="4" name="Month Number" tableColumnId="4"/>
      <queryTableField id="5" name="Date" tableColumnId="5"/>
      <queryTableField id="33" name="Imported Oil price index.Price" tableColumnId="33"/>
      <queryTableField id="34" name="Imported Oil price index.Change" tableColumnId="34"/>
      <queryTableField id="6" name="Cereals and products" tableColumnId="6"/>
      <queryTableField id="38" dataBound="0" tableColumnId="35"/>
      <queryTableField id="7" name="Meat and fish" tableColumnId="7"/>
      <queryTableField id="39" dataBound="0" tableColumnId="36"/>
      <queryTableField id="8" name="Egg" tableColumnId="8"/>
      <queryTableField id="64" dataBound="0" tableColumnId="61"/>
      <queryTableField id="9" name="Milk and products" tableColumnId="9"/>
      <queryTableField id="41" dataBound="0" tableColumnId="38"/>
      <queryTableField id="10" name="Oils and fats" tableColumnId="10"/>
      <queryTableField id="42" dataBound="0" tableColumnId="39"/>
      <queryTableField id="11" name="Fruits" tableColumnId="11"/>
      <queryTableField id="43" dataBound="0" tableColumnId="40"/>
      <queryTableField id="12" name="Vegetables" tableColumnId="12"/>
      <queryTableField id="44" dataBound="0" tableColumnId="41"/>
      <queryTableField id="13" name="Pulses and products" tableColumnId="13"/>
      <queryTableField id="45" dataBound="0" tableColumnId="42"/>
      <queryTableField id="14" name="Sugar and Confectionery" tableColumnId="14"/>
      <queryTableField id="46" dataBound="0" tableColumnId="43"/>
      <queryTableField id="15" name="Spices" tableColumnId="15"/>
      <queryTableField id="47" dataBound="0" tableColumnId="44"/>
      <queryTableField id="16" name="Non alcoholic beverages" tableColumnId="16"/>
      <queryTableField id="48" dataBound="0" tableColumnId="45"/>
      <queryTableField id="17" name="Prepared meals, snacks, sweets etc" tableColumnId="17"/>
      <queryTableField id="49" dataBound="0" tableColumnId="46"/>
      <queryTableField id="18" name="Food and beverages" tableColumnId="18"/>
      <queryTableField id="50" dataBound="0" tableColumnId="47"/>
      <queryTableField id="19" name="Pan, tobacco and intoxicants" tableColumnId="19"/>
      <queryTableField id="51" dataBound="0" tableColumnId="48"/>
      <queryTableField id="20" name="Clothing" tableColumnId="20"/>
      <queryTableField id="52" dataBound="0" tableColumnId="49"/>
      <queryTableField id="21" name="Footwear" tableColumnId="21"/>
      <queryTableField id="53" dataBound="0" tableColumnId="50"/>
      <queryTableField id="22" name="Clothing and footwear" tableColumnId="22"/>
      <queryTableField id="54" dataBound="0" tableColumnId="51"/>
      <queryTableField id="23" name="Housing" tableColumnId="23"/>
      <queryTableField id="55" dataBound="0" tableColumnId="52"/>
      <queryTableField id="24" name="Fuel and light" tableColumnId="24"/>
      <queryTableField id="56" dataBound="0" tableColumnId="53"/>
      <queryTableField id="25" name="Household goods and services" tableColumnId="25"/>
      <queryTableField id="57" dataBound="0" tableColumnId="54"/>
      <queryTableField id="26" name="Health" tableColumnId="26"/>
      <queryTableField id="58" dataBound="0" tableColumnId="55"/>
      <queryTableField id="27" name="Transport and communication" tableColumnId="27"/>
      <queryTableField id="59" dataBound="0" tableColumnId="56"/>
      <queryTableField id="28" name="Recreation and amusement" tableColumnId="28"/>
      <queryTableField id="60" dataBound="0" tableColumnId="57"/>
      <queryTableField id="29" name="Education" tableColumnId="29"/>
      <queryTableField id="61" dataBound="0" tableColumnId="58"/>
      <queryTableField id="30" name="Personal care and effects" tableColumnId="30"/>
      <queryTableField id="62" dataBound="0" tableColumnId="59"/>
      <queryTableField id="31" name="Miscellaneous" tableColumnId="31"/>
      <queryTableField id="63" dataBound="0" tableColumnId="60"/>
      <queryTableField id="32" name="General index" tableColumnId="32"/>
      <queryTableField id="65" dataBound="0" tableColumnId="6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10" xr16:uid="{7555ABDE-B43B-483D-983A-764AD629CA4D}" autoFormatId="16" applyNumberFormats="0" applyBorderFormats="0" applyFontFormats="0" applyPatternFormats="0" applyAlignmentFormats="0" applyWidthHeightFormats="0">
  <queryTableRefresh nextId="91">
    <queryTableFields count="32">
      <queryTableField id="1" name="Sector" tableColumnId="1"/>
      <queryTableField id="2" name="Year" tableColumnId="2"/>
      <queryTableField id="3" name="Month" tableColumnId="3"/>
      <queryTableField id="4" name="Month Number" tableColumnId="4"/>
      <queryTableField id="5" name="Date" tableColumnId="5"/>
      <queryTableField id="6" name="Cereals and products" tableColumnId="6"/>
      <queryTableField id="7" name="Meat and fish" tableColumnId="7"/>
      <queryTableField id="8" name="Egg" tableColumnId="8"/>
      <queryTableField id="9" name="Milk and products" tableColumnId="9"/>
      <queryTableField id="10" name="Oils and fats" tableColumnId="10"/>
      <queryTableField id="11" name="Fruits" tableColumnId="11"/>
      <queryTableField id="12" name="Vegetables" tableColumnId="12"/>
      <queryTableField id="13" name="Pulses and products" tableColumnId="13"/>
      <queryTableField id="14" name="Sugar and Confectionery" tableColumnId="14"/>
      <queryTableField id="15" name="Spices" tableColumnId="15"/>
      <queryTableField id="87" name="Non alcoholic beverages" tableColumnId="87"/>
      <queryTableField id="88" name="Prepared meals, snacks, sweets etc" tableColumnId="88"/>
      <queryTableField id="18" name="Food and beverages" tableColumnId="18"/>
      <queryTableField id="19" name="Pan, tobacco and intoxicants" tableColumnId="19"/>
      <queryTableField id="20" name="Clothing" tableColumnId="20"/>
      <queryTableField id="21" name="Footwear" tableColumnId="21"/>
      <queryTableField id="22" name="Clothing and footwear" tableColumnId="22"/>
      <queryTableField id="23" name="Housing" tableColumnId="23"/>
      <queryTableField id="24" name="Fuel and light" tableColumnId="24"/>
      <queryTableField id="25" name="Household goods and services" tableColumnId="25"/>
      <queryTableField id="26" name="Health" tableColumnId="26"/>
      <queryTableField id="27" name="Transport and communication" tableColumnId="27"/>
      <queryTableField id="28" name="Recreation and amusement" tableColumnId="28"/>
      <queryTableField id="29" name="Education" tableColumnId="29"/>
      <queryTableField id="30" name="Personal care and effects" tableColumnId="30"/>
      <queryTableField id="31" name="Miscellaneous" tableColumnId="31"/>
      <queryTableField id="32" name="General index" tableColumnId="3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9" xr16:uid="{10CAC1C2-670D-4C96-B98F-C021D1A660AF}" autoFormatId="16" applyNumberFormats="0" applyBorderFormats="0" applyFontFormats="0" applyPatternFormats="0" applyAlignmentFormats="0" applyWidthHeightFormats="0">
  <queryTableRefresh nextId="4">
    <queryTableFields count="3">
      <queryTableField id="1" name="Month" tableColumnId="1"/>
      <queryTableField id="2" name="Price" tableColumnId="2"/>
      <queryTableField id="3" name="Chang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9BE70DCF-269D-4430-BB14-7DD18A3E51AB}" sourceName="Sector">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5F9AC925-3CB9-4CD8-9C61-C3E950F0E50F}" cache="Slicer_Sector" caption="Secto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D72529-3BB4-4D81-8FD1-DDDACC942430}" name="All_India_Index_Upto_April23__1" displayName="All_India_Index_Upto_April23__1" ref="A1:AD373" tableType="queryTable" totalsRowShown="0">
  <autoFilter ref="A1:AD373" xr:uid="{A4D72529-3BB4-4D81-8FD1-DDDACC942430}"/>
  <tableColumns count="30">
    <tableColumn id="1" xr3:uid="{FE46C6F6-F66B-467F-947F-C72EA7A80C86}" uniqueName="1" name="Sector" queryTableFieldId="1" dataDxfId="129"/>
    <tableColumn id="2" xr3:uid="{E9917A4B-CBBD-48FA-9E1F-FF5FA17FAACC}" uniqueName="2" name="Year" queryTableFieldId="2"/>
    <tableColumn id="3" xr3:uid="{BB063B8F-3C5D-46F0-B7B5-5F099D17FD19}" uniqueName="3" name="Month" queryTableFieldId="3" dataDxfId="128"/>
    <tableColumn id="4" xr3:uid="{264D4FC6-470E-41CE-9750-4BE11DEC8A1F}" uniqueName="4" name="Cereals and products" queryTableFieldId="4"/>
    <tableColumn id="5" xr3:uid="{9FC7C6EA-B8D4-435C-A056-B6DC46FC3EE0}" uniqueName="5" name="Meat and fish" queryTableFieldId="5"/>
    <tableColumn id="6" xr3:uid="{4521A234-D1C4-464E-BE23-BEB488EF8401}" uniqueName="6" name="Egg" queryTableFieldId="6"/>
    <tableColumn id="7" xr3:uid="{4F473EA9-83ED-4C0E-9ED3-8B9E84371713}" uniqueName="7" name="Milk and products" queryTableFieldId="7"/>
    <tableColumn id="8" xr3:uid="{C28C5077-A090-4E65-A18C-C6A5423C0A93}" uniqueName="8" name="Oils and fats" queryTableFieldId="8"/>
    <tableColumn id="9" xr3:uid="{982BD554-BEB2-46A1-A39B-B2EC8E0C63A7}" uniqueName="9" name="Fruits" queryTableFieldId="9"/>
    <tableColumn id="10" xr3:uid="{8DF83B82-AEFE-40FD-A8AA-C0805143224A}" uniqueName="10" name="Vegetables" queryTableFieldId="10"/>
    <tableColumn id="11" xr3:uid="{96F580D4-63FF-484E-BE8D-6D2690E5C3DB}" uniqueName="11" name="Pulses and products" queryTableFieldId="11"/>
    <tableColumn id="12" xr3:uid="{9DA46B93-69F1-40FE-A2CD-538211FF3DD2}" uniqueName="12" name="Sugar and Confectionery" queryTableFieldId="12"/>
    <tableColumn id="13" xr3:uid="{4CE3CFE4-B90E-46E0-9D49-F160A77DA98E}" uniqueName="13" name="Spices" queryTableFieldId="13"/>
    <tableColumn id="14" xr3:uid="{E11C243A-5440-4801-ACAE-5DD76FD716E6}" uniqueName="14" name="Non-alcoholic beverages" queryTableFieldId="14"/>
    <tableColumn id="15" xr3:uid="{1D928F31-EF4F-4D79-9C3B-D6360D610447}" uniqueName="15" name="Prepared meals, snacks, sweets etc." queryTableFieldId="15"/>
    <tableColumn id="16" xr3:uid="{B148EFC7-774A-4ADC-A139-E470A0AD712D}" uniqueName="16" name="Food and beverages" queryTableFieldId="16"/>
    <tableColumn id="17" xr3:uid="{9F7E3627-3DD1-47C2-83F3-E4BF2509ACD3}" uniqueName="17" name="Pan, tobacco and intoxicants" queryTableFieldId="17"/>
    <tableColumn id="18" xr3:uid="{98BCAFC9-685C-4AA4-A92D-0CEAE0567405}" uniqueName="18" name="Clothing" queryTableFieldId="18"/>
    <tableColumn id="19" xr3:uid="{0D65C7AB-B9B3-404F-850B-DCE51E8E2FDF}" uniqueName="19" name="Footwear" queryTableFieldId="19"/>
    <tableColumn id="20" xr3:uid="{FC8D59D3-E563-4810-AB56-46A8C70B2F2C}" uniqueName="20" name="Clothing and footwear" queryTableFieldId="20"/>
    <tableColumn id="21" xr3:uid="{A330C720-9F9E-42B9-BECA-45D98B5B11F4}" uniqueName="21" name="Housing" queryTableFieldId="21" dataDxfId="127"/>
    <tableColumn id="22" xr3:uid="{3D0759CD-DA7E-4FA7-B158-DF7839DEC51C}" uniqueName="22" name="Fuel and light" queryTableFieldId="22"/>
    <tableColumn id="23" xr3:uid="{E05502AB-73EF-41FB-91BC-DE4189F48400}" uniqueName="23" name="Household goods and services" queryTableFieldId="23"/>
    <tableColumn id="24" xr3:uid="{64E5E195-55AA-45DF-82B4-FA7FD1982291}" uniqueName="24" name="Health" queryTableFieldId="24"/>
    <tableColumn id="25" xr3:uid="{620226D2-4FC5-4287-AD24-88311439418F}" uniqueName="25" name="Transport and communication" queryTableFieldId="25"/>
    <tableColumn id="26" xr3:uid="{9BB35C37-9EF9-4590-9C30-7CC5F26F601E}" uniqueName="26" name="Recreation and amusement" queryTableFieldId="26"/>
    <tableColumn id="27" xr3:uid="{27864860-9311-4033-8822-9CA0485B7000}" uniqueName="27" name="Education" queryTableFieldId="27"/>
    <tableColumn id="28" xr3:uid="{5949C1AB-AD78-4853-A067-5B51F0A1CAD7}" uniqueName="28" name="Personal care and effects" queryTableFieldId="28"/>
    <tableColumn id="29" xr3:uid="{4C396F2D-AD1F-4707-BBB9-55A3CB941916}" uniqueName="29" name="Miscellaneous" queryTableFieldId="29"/>
    <tableColumn id="30" xr3:uid="{82AD7024-4AA3-40FB-A0E3-24FFF9E19875}" uniqueName="30" name="General index" queryTableField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E08C80-E160-4A3D-B97B-3AC1DCC8ABA4}" name="All_India_Index_Upto_April23__cleaned" displayName="All_India_Index_Upto_April23__cleaned" ref="A1:AF373" tableType="queryTable" totalsRowShown="0">
  <autoFilter ref="A1:AF373" xr:uid="{36E08C80-E160-4A3D-B97B-3AC1DCC8ABA4}"/>
  <tableColumns count="32">
    <tableColumn id="1" xr3:uid="{C07A753D-9C17-4138-9654-4D21D9D08469}" uniqueName="1" name="Sector" queryTableFieldId="1" dataDxfId="126"/>
    <tableColumn id="2" xr3:uid="{EAB286BF-C077-4631-A67B-832027F80DFA}" uniqueName="2" name="Year" queryTableFieldId="2"/>
    <tableColumn id="3" xr3:uid="{A453F36D-AC40-46C8-8DC7-F3C1F80BF38C}" uniqueName="3" name="Month" queryTableFieldId="3" dataDxfId="125"/>
    <tableColumn id="4" xr3:uid="{F5991F16-25B7-4987-A259-C9867AE8454A}" uniqueName="4" name="Month Number" queryTableFieldId="4"/>
    <tableColumn id="5" xr3:uid="{76FA1CFF-4B61-4154-A77F-F8AD4D073F32}" uniqueName="5" name="Date" queryTableFieldId="5" dataDxfId="124"/>
    <tableColumn id="6" xr3:uid="{630BE4F4-1C04-42EA-B0E1-7BBCA91C29E3}" uniqueName="6" name="Cereals and products" queryTableFieldId="6"/>
    <tableColumn id="7" xr3:uid="{A3A1D7D9-11FB-4905-B0D2-090C5951AD31}" uniqueName="7" name="Meat and fish" queryTableFieldId="7"/>
    <tableColumn id="8" xr3:uid="{138747BD-0B37-4B8E-8DA4-EBBF4F89C089}" uniqueName="8" name="Egg" queryTableFieldId="8"/>
    <tableColumn id="9" xr3:uid="{9569B12C-0370-4D4F-A9BA-CBD1360A710E}" uniqueName="9" name="Milk and products" queryTableFieldId="9"/>
    <tableColumn id="10" xr3:uid="{25B8B2BF-5B2B-40EC-8B77-F8B8F08F5568}" uniqueName="10" name="Oils and fats" queryTableFieldId="10"/>
    <tableColumn id="11" xr3:uid="{4162778C-B56A-400B-AEC3-EA5FCF9EC95E}" uniqueName="11" name="Fruits" queryTableFieldId="11"/>
    <tableColumn id="12" xr3:uid="{92D25D64-641F-4CB1-8D0B-698B8F6FD90C}" uniqueName="12" name="Vegetables" queryTableFieldId="12"/>
    <tableColumn id="13" xr3:uid="{28F7AE2B-588D-4EF3-8FA5-4AFDC5B39C7A}" uniqueName="13" name="Pulses and products" queryTableFieldId="13"/>
    <tableColumn id="14" xr3:uid="{D884584E-08B1-4386-8262-60A1640D028B}" uniqueName="14" name="Sugar and Confectionery" queryTableFieldId="14"/>
    <tableColumn id="15" xr3:uid="{3B1547DD-3FE1-4D92-A12E-3C1EFBC483C6}" uniqueName="15" name="Spices" queryTableFieldId="15"/>
    <tableColumn id="16" xr3:uid="{37A91653-06A0-4D89-A228-4602B5DB1615}" uniqueName="16" name="Non-alcoholic beverages" queryTableFieldId="16"/>
    <tableColumn id="17" xr3:uid="{AD3CFEA6-7B47-456A-8E60-9D6800BA802E}" uniqueName="17" name="Prepared meals, snacks, sweets etc." queryTableFieldId="17"/>
    <tableColumn id="18" xr3:uid="{0F735B02-6425-408B-B124-B95F408078C4}" uniqueName="18" name="Food and beverages" queryTableFieldId="18"/>
    <tableColumn id="19" xr3:uid="{EB298187-621F-49B8-A376-3C1E9E5D304F}" uniqueName="19" name="Pan, tobacco and intoxicants" queryTableFieldId="19"/>
    <tableColumn id="20" xr3:uid="{0E9E3FB4-34DD-4F0D-B79D-5493EDA56C5B}" uniqueName="20" name="Clothing" queryTableFieldId="20"/>
    <tableColumn id="21" xr3:uid="{9DEC9ACE-A33C-4007-BF64-6F386E59A37C}" uniqueName="21" name="Footwear" queryTableFieldId="21"/>
    <tableColumn id="22" xr3:uid="{D7E7D615-3D8C-469D-875C-6B0616BD2304}" uniqueName="22" name="Clothing and footwear" queryTableFieldId="22"/>
    <tableColumn id="23" xr3:uid="{A9F084A2-5B0F-4454-90B6-9F3C468E2608}" uniqueName="23" name="Housing" queryTableFieldId="23"/>
    <tableColumn id="24" xr3:uid="{F0C7ED13-080C-4D50-858F-12857F1F8B2D}" uniqueName="24" name="Fuel and light" queryTableFieldId="24"/>
    <tableColumn id="25" xr3:uid="{FB10AC18-3999-446D-A00D-4F2149A2CC70}" uniqueName="25" name="Household goods and services" queryTableFieldId="25"/>
    <tableColumn id="26" xr3:uid="{CDEF0365-33B1-422A-9FAC-666220901180}" uniqueName="26" name="Health" queryTableFieldId="26"/>
    <tableColumn id="27" xr3:uid="{A703A3D0-830F-467A-A943-6BE8F40316E2}" uniqueName="27" name="Transport and communication" queryTableFieldId="27"/>
    <tableColumn id="28" xr3:uid="{40364E53-8FFC-453F-A851-674524A98C11}" uniqueName="28" name="Recreation and amusement" queryTableFieldId="28"/>
    <tableColumn id="29" xr3:uid="{032EAC9D-934C-43D9-B95D-994E4F55D175}" uniqueName="29" name="Education" queryTableFieldId="29"/>
    <tableColumn id="30" xr3:uid="{84E0B245-5A59-49E6-8CCC-8FCAD6A4CEE9}" uniqueName="30" name="Personal care and effects" queryTableFieldId="30"/>
    <tableColumn id="31" xr3:uid="{6E8D6118-AD7C-41B6-A165-9AD17C1EC9D7}" uniqueName="31" name="Miscellaneous" queryTableFieldId="31"/>
    <tableColumn id="32" xr3:uid="{E9903148-5610-477E-A5C5-58C00D0064AF}" uniqueName="32" name="General index" queryTableFieldId="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AA4C93-DAB7-4FDD-BE97-3596F67133A3}" name="analysis_1" displayName="analysis_1" ref="A4:E28" tableType="queryTable" totalsRowShown="0">
  <autoFilter ref="A4:E28" xr:uid="{74AA4C93-DAB7-4FDD-BE97-3596F67133A3}">
    <filterColumn colId="0">
      <filters>
        <filter val="Rural+Urban"/>
      </filters>
    </filterColumn>
  </autoFilter>
  <tableColumns count="5">
    <tableColumn id="1" xr3:uid="{33496E00-8B96-4C1C-BFF5-FEF997201CFA}" uniqueName="1" name="Sector" queryTableFieldId="1" dataDxfId="123"/>
    <tableColumn id="5" xr3:uid="{7CDDA804-4318-46DC-82C3-5995E334C180}" uniqueName="5" name="Date" queryTableFieldId="5" dataDxfId="122"/>
    <tableColumn id="33" xr3:uid="{7D39C16B-EFF6-432C-9B36-F1DEE0CFFD67}" uniqueName="33" name="Attribute" queryTableFieldId="33" dataDxfId="121"/>
    <tableColumn id="34" xr3:uid="{109186CC-486F-4445-86CB-3B57F86638E7}" uniqueName="34" name="Value" queryTableFieldId="34"/>
    <tableColumn id="35" xr3:uid="{9CEAE2D8-6E10-4B12-B076-F0360A495A56}" uniqueName="35" name="Share of Selected CPI Categories (%" queryTableFieldId="3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97AB8D2-BC63-4EF9-BFE5-478C4F6FDA8D}" name="Analysis_2" displayName="Analysis_2" ref="A4:C11" tableType="queryTable" totalsRowShown="0">
  <autoFilter ref="A4:C11" xr:uid="{D97AB8D2-BC63-4EF9-BFE5-478C4F6FDA8D}"/>
  <tableColumns count="3">
    <tableColumn id="1" xr3:uid="{5ABCB3D5-5BC6-4570-8F7A-D4E79A114538}" uniqueName="1" name="Year" queryTableFieldId="1"/>
    <tableColumn id="2" xr3:uid="{0D4E26E6-9707-4FD0-83B1-B6948C4F7F59}" uniqueName="2" name="Average General index" queryTableFieldId="2"/>
    <tableColumn id="3" xr3:uid="{C2B171AC-C0D0-482D-9016-97AB5714DD5D}" uniqueName="3" name="YoY% Inflation" queryTableField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474C290-E9A8-40F1-BE0C-63BC1933B2D2}" name="Analysis_3" displayName="Analysis_3" ref="A4:R17" tableType="queryTable" totalsRowShown="0">
  <autoFilter ref="A4:R17" xr:uid="{1474C290-E9A8-40F1-BE0C-63BC1933B2D2}"/>
  <tableColumns count="18">
    <tableColumn id="1" xr3:uid="{123D0E49-DCA5-4FD0-837A-79D7FBA19758}" uniqueName="1" name="Sector" queryTableFieldId="1" dataDxfId="120"/>
    <tableColumn id="2" xr3:uid="{26499D80-3ADE-4B4A-B37B-78CF4F674B11}" uniqueName="2" name="Year" queryTableFieldId="2"/>
    <tableColumn id="3" xr3:uid="{9AFB7BD8-495E-4B99-81C7-76FAF7157FFF}" uniqueName="3" name="Month" queryTableFieldId="3" dataDxfId="119"/>
    <tableColumn id="4" xr3:uid="{ED9501DE-DF0C-4093-BD95-C3ADAE735A7B}" uniqueName="4" name="Month Number" queryTableFieldId="4"/>
    <tableColumn id="5" xr3:uid="{28AEC518-DB0D-4448-BDC5-FF9FAE4416FF}" uniqueName="5" name="Date" queryTableFieldId="5" dataDxfId="118"/>
    <tableColumn id="18" xr3:uid="{2C800F38-82D4-48C5-8BAF-D218EC5346A5}" uniqueName="18" name="Food and beverages" queryTableFieldId="18"/>
    <tableColumn id="6" xr3:uid="{8A29E9F7-9637-4059-8E4B-0F3BC24BD274}" uniqueName="6" name="Cereals and products" queryTableFieldId="6"/>
    <tableColumn id="7" xr3:uid="{F85D65F1-4EEC-479F-B990-576BC12C6046}" uniqueName="7" name="Meat and fish" queryTableFieldId="7"/>
    <tableColumn id="8" xr3:uid="{036DA0C3-DF17-4C2A-A7D1-F79398330140}" uniqueName="8" name="Egg" queryTableFieldId="8"/>
    <tableColumn id="9" xr3:uid="{667ACE48-99A4-4370-84E5-202090E8E4FB}" uniqueName="9" name="Milk and products" queryTableFieldId="9"/>
    <tableColumn id="10" xr3:uid="{79EE7CA4-FEB5-432A-BFC1-68B5184504BE}" uniqueName="10" name="Oils and fats" queryTableFieldId="10"/>
    <tableColumn id="11" xr3:uid="{CACEEB47-22A3-4E53-AD7F-18346F885961}" uniqueName="11" name="Fruits" queryTableFieldId="11"/>
    <tableColumn id="12" xr3:uid="{28FA41FC-901C-49BA-85FC-1832B14813FD}" uniqueName="12" name="Vegetables" queryTableFieldId="12"/>
    <tableColumn id="13" xr3:uid="{620D6DE0-4737-46F2-A569-224865D8EEEF}" uniqueName="13" name="Pulses and products" queryTableFieldId="13"/>
    <tableColumn id="14" xr3:uid="{71674C27-4CC9-42AA-AFFB-7BE69D725481}" uniqueName="14" name="Sugar and Confectionery" queryTableFieldId="14"/>
    <tableColumn id="15" xr3:uid="{52880209-1302-434D-AF88-4C2D462EC577}" uniqueName="15" name="Spices" queryTableFieldId="15"/>
    <tableColumn id="16" xr3:uid="{5A2A9958-086F-4F38-855E-68456606596C}" uniqueName="16" name="Non alcoholic beverages" queryTableFieldId="16"/>
    <tableColumn id="17" xr3:uid="{944B4491-5236-4E29-B01D-DA30FA417878}" uniqueName="17" name="Prepared meals, snacks, sweets etc"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9F2021-7476-4996-928B-3C086D17E1E8}" name="Table10" displayName="Table10" ref="A22:B34" totalsRowShown="0" headerRowDxfId="117">
  <autoFilter ref="A22:B34" xr:uid="{7A9F2021-7476-4996-928B-3C086D17E1E8}"/>
  <tableColumns count="2">
    <tableColumn id="1" xr3:uid="{20B6BE1A-A9B3-40F4-B5F5-FAFE362D100D}" name="Period" dataDxfId="116"/>
    <tableColumn id="2" xr3:uid="{57D7DE6B-8DE4-4ED2-BC62-AE00013F9D3F}" name="Food MoM %" dataDxfId="115">
      <calculatedColumnFormula>(F6-F5)/F5</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4DF11CF-FE6F-4686-9BF5-5D0135D7528D}" name="Table14" displayName="Table14" ref="I22:M34" totalsRowShown="0" headerRowDxfId="114" headerRowBorderDxfId="112" tableBorderDxfId="113">
  <autoFilter ref="I22:M34" xr:uid="{04DF11CF-FE6F-4686-9BF5-5D0135D7528D}"/>
  <tableColumns count="5">
    <tableColumn id="1" xr3:uid="{ECAC5E32-04E0-414C-8FA3-5A5EA4E51F72}" name="Food Category" dataDxfId="111"/>
    <tableColumn id="2" xr3:uid="{D94D34B7-5FBA-4500-AB10-9A22AB374B39}" name="Jun.22" dataDxfId="110"/>
    <tableColumn id="3" xr3:uid="{0CA18FC4-DAF4-47C2-B7C6-75E2AA29F05C}" name="May.23" dataDxfId="109"/>
    <tableColumn id="4" xr3:uid="{CB550359-6EBF-4A45-8CF3-F022831B9852}" name="Absolute Change" dataDxfId="108">
      <calculatedColumnFormula>K23-J23</calculatedColumnFormula>
    </tableColumn>
    <tableColumn id="5" xr3:uid="{7D1B7EB7-E2C3-4712-B9D4-DCEB982D1B69}" name="Percentage Change" dataDxfId="107">
      <calculatedColumnFormula>L23/J23</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63AAD14-2897-466A-A9C6-36C57A430839}" name="Analysis_4" displayName="Analysis_4" ref="A4:U43" tableType="queryTable" totalsRowShown="0">
  <autoFilter ref="A4:U43" xr:uid="{863AAD14-2897-466A-A9C6-36C57A430839}">
    <filterColumn colId="4">
      <filters>
        <dateGroupItem year="2021" dateTimeGrouping="year"/>
        <dateGroupItem year="2020" dateTimeGrouping="year"/>
        <dateGroupItem year="2019" month="3" dateTimeGrouping="month"/>
        <dateGroupItem year="2019" month="4" dateTimeGrouping="month"/>
        <dateGroupItem year="2019" month="5" dateTimeGrouping="month"/>
        <dateGroupItem year="2019" month="6" dateTimeGrouping="month"/>
        <dateGroupItem year="2019" month="7" dateTimeGrouping="month"/>
        <dateGroupItem year="2019" month="8" dateTimeGrouping="month"/>
        <dateGroupItem year="2019" month="9" dateTimeGrouping="month"/>
        <dateGroupItem year="2019" month="10" dateTimeGrouping="month"/>
        <dateGroupItem year="2019" month="11" dateTimeGrouping="month"/>
        <dateGroupItem year="2019" month="12" dateTimeGrouping="month"/>
      </filters>
    </filterColumn>
  </autoFilter>
  <tableColumns count="21">
    <tableColumn id="1" xr3:uid="{2B1C792B-04E7-4546-8785-7B6838B7C4E3}" uniqueName="1" name="Sector" queryTableFieldId="1" dataDxfId="106"/>
    <tableColumn id="2" xr3:uid="{FD946D76-BE4D-4746-A3F5-88324AFB1F61}" uniqueName="2" name="Year" queryTableFieldId="2"/>
    <tableColumn id="3" xr3:uid="{2E08A0B2-BDBE-4EBD-B953-0C42A5D22E64}" uniqueName="3" name="Month" queryTableFieldId="3" dataDxfId="105"/>
    <tableColumn id="4" xr3:uid="{2C8F7025-B9E5-41B6-B500-93676BB0225B}" uniqueName="4" name="Month Number" queryTableFieldId="4"/>
    <tableColumn id="5" xr3:uid="{76DA2814-F58B-439E-8558-053B6109BED0}" uniqueName="5" name="Date" queryTableFieldId="5" dataDxfId="104"/>
    <tableColumn id="6" xr3:uid="{7DBF3A31-5D86-4DA5-AE8B-D10DE2ED5486}" uniqueName="6" name="COVID Period" queryTableFieldId="6"/>
    <tableColumn id="7" xr3:uid="{1D715364-9348-4CB4-8DD3-0519A15AE98A}" uniqueName="7" name="Food and beverages" queryTableFieldId="7"/>
    <tableColumn id="12" xr3:uid="{54C2F752-0BFF-484A-A1A3-0EB768E08BFF}" uniqueName="12" name="PY Food and beverages " queryTableFieldId="12"/>
    <tableColumn id="13" xr3:uid="{FA033809-F346-48BB-890B-A47086C25548}" uniqueName="13" name="YoY% Food and beverages" queryTableFieldId="13" dataDxfId="103"/>
    <tableColumn id="8" xr3:uid="{A8F5094F-0D9E-4679-9EC1-960E8BDA6BE3}" uniqueName="8" name="Fuel and light" queryTableFieldId="8"/>
    <tableColumn id="14" xr3:uid="{9F05B8D8-4821-49FC-8005-24EC48D88F88}" uniqueName="14" name="PY Fuel and light" queryTableFieldId="14"/>
    <tableColumn id="15" xr3:uid="{789C02A1-61F3-4BA4-AF21-302120E2B5A0}" uniqueName="15" name="YoY% Fuel and light" queryTableFieldId="15" dataDxfId="102"/>
    <tableColumn id="9" xr3:uid="{7D5F71E2-9B86-4FDD-8AF6-5C0498795CEF}" uniqueName="9" name="Health" queryTableFieldId="9"/>
    <tableColumn id="16" xr3:uid="{3FC23E3A-0945-406E-8FA5-08FF753667E1}" uniqueName="16" name="PY Health" queryTableFieldId="16"/>
    <tableColumn id="17" xr3:uid="{02DAAC42-E172-40F8-BFD7-B12BB57D27C3}" uniqueName="17" name="YoY% Health" queryTableFieldId="17" dataDxfId="101"/>
    <tableColumn id="10" xr3:uid="{BD22CB3D-D9BF-435E-B1CE-1893D4D3135F}" uniqueName="10" name="Transport and communication" queryTableFieldId="10"/>
    <tableColumn id="18" xr3:uid="{6C8EE9A7-E0FC-43A9-A332-04FE9FEBEE57}" uniqueName="18" name="PY Transport and communication" queryTableFieldId="18"/>
    <tableColumn id="19" xr3:uid="{D3728D57-C252-4D27-A7B9-9D413EF7CE48}" uniqueName="19" name="YoY% Transport and communication" queryTableFieldId="19" dataDxfId="100"/>
    <tableColumn id="11" xr3:uid="{094EADD7-F0CA-451A-86D9-E9285191CA7B}" uniqueName="11" name="General index" queryTableFieldId="11"/>
    <tableColumn id="20" xr3:uid="{E23EB339-113B-4CBE-81F6-7C10DDD86C12}" uniqueName="20" name="PY General index" queryTableFieldId="20"/>
    <tableColumn id="21" xr3:uid="{29CACDE7-37E5-41B2-AAA2-2A140B18B0B1}" uniqueName="21" name="YoY% General index" queryTableFieldId="21" dataDxfId="9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888C5F4-8004-4AF3-9A91-758F6B476B13}" name="Analysis_5" displayName="Analysis_5" ref="A4:BI34" tableType="queryTable" totalsRowShown="0">
  <autoFilter ref="A4:BI34" xr:uid="{4888C5F4-8004-4AF3-9A91-758F6B476B13}">
    <filterColumn colId="1">
      <filters>
        <filter val="2021"/>
        <filter val="2022"/>
        <filter val="2023"/>
      </filters>
    </filterColumn>
  </autoFilter>
  <tableColumns count="61">
    <tableColumn id="1" xr3:uid="{4F2DEFB0-B608-4CA1-922C-1BF3021A2325}" uniqueName="1" name="Sector" queryTableFieldId="1" dataDxfId="98"/>
    <tableColumn id="2" xr3:uid="{DDBEFE1F-993F-4594-A824-20F0B9759495}" uniqueName="2" name="Year" queryTableFieldId="2"/>
    <tableColumn id="3" xr3:uid="{7D461772-5DCD-4E2F-BA2E-FA3C98AC4CAB}" uniqueName="3" name="Month" queryTableFieldId="3" dataDxfId="97"/>
    <tableColumn id="4" xr3:uid="{6244A4D9-A47C-4A15-9947-B96DA9C3D6F4}" uniqueName="4" name="Month Number" queryTableFieldId="4"/>
    <tableColumn id="5" xr3:uid="{A2182B2E-9E28-430F-AF4D-0299F27992B5}" uniqueName="5" name="Date" queryTableFieldId="5" dataDxfId="96"/>
    <tableColumn id="33" xr3:uid="{E626D87D-81E6-4EF2-9369-48A9AA382BBF}" uniqueName="33" name="Imported Crude Oil price index.Price" queryTableFieldId="33"/>
    <tableColumn id="34" xr3:uid="{88AF7D93-8415-4290-B992-620CFE86A5A5}" uniqueName="34" name="MoM% Imported Crude Oil price index" queryTableFieldId="34" dataDxfId="95"/>
    <tableColumn id="6" xr3:uid="{E2F8E1FB-ACA8-4CEB-9282-ED9F9B198347}" uniqueName="6" name="Cereals and products" queryTableFieldId="6" dataDxfId="94"/>
    <tableColumn id="35" xr3:uid="{BA01C3E8-3116-4D53-9B8C-2232965D4201}" uniqueName="35" name="MoM% Cereals and products " queryTableFieldId="38" dataDxfId="93"/>
    <tableColumn id="7" xr3:uid="{79A2AC85-C9FE-4EE8-B262-6AAC8BC39F35}" uniqueName="7" name="Meat and fish" queryTableFieldId="7" dataDxfId="92"/>
    <tableColumn id="36" xr3:uid="{4A35C686-3B58-4C6C-A202-A5E6A62BF8CF}" uniqueName="36" name="MoM% Meat and fish" queryTableFieldId="39" dataDxfId="91"/>
    <tableColumn id="8" xr3:uid="{BC520249-F93F-40F5-B57F-C419EBAD30C0}" uniqueName="8" name="Egg" queryTableFieldId="8" dataDxfId="90"/>
    <tableColumn id="61" xr3:uid="{3E787CB1-A65E-495F-AA8F-FE78A8D38EC7}" uniqueName="61" name="MoM% Egg" queryTableFieldId="64" dataDxfId="89"/>
    <tableColumn id="9" xr3:uid="{11229DA9-E183-48FB-B07E-3163CBEF80B5}" uniqueName="9" name="Milk and products" queryTableFieldId="9" dataDxfId="88"/>
    <tableColumn id="38" xr3:uid="{A14BA8F2-CBF5-49B8-A88C-769CD2C329F5}" uniqueName="38" name="MoM% Milk and products" queryTableFieldId="41" dataDxfId="87"/>
    <tableColumn id="10" xr3:uid="{9E7A6E8F-9638-458A-B642-49E9E59A9471}" uniqueName="10" name="Oils and fats" queryTableFieldId="10" dataDxfId="86"/>
    <tableColumn id="39" xr3:uid="{8CEF089C-ED5A-410C-AC06-9EFD1EAF704F}" uniqueName="39" name="MoM% Oils and fats" queryTableFieldId="42" dataDxfId="85"/>
    <tableColumn id="11" xr3:uid="{C635BAC2-DA22-428D-B67B-C175F62C8FB6}" uniqueName="11" name="Fruits" queryTableFieldId="11" dataDxfId="84"/>
    <tableColumn id="40" xr3:uid="{A0FB0A91-786A-42CF-B214-821B9E48DC2E}" uniqueName="40" name="MoM% Fruits" queryTableFieldId="43" dataDxfId="83"/>
    <tableColumn id="12" xr3:uid="{6FB748E3-C4C1-4DF8-B729-8C31151FE92A}" uniqueName="12" name="Vegetables" queryTableFieldId="12" dataDxfId="82"/>
    <tableColumn id="41" xr3:uid="{BAE941AB-D868-44D7-8F7D-465140E51B6A}" uniqueName="41" name="MoM% Vegetables" queryTableFieldId="44" dataDxfId="81"/>
    <tableColumn id="13" xr3:uid="{04FB79E9-FAAA-48FA-9257-20C618CDAF81}" uniqueName="13" name="Pulses and products" queryTableFieldId="13" dataDxfId="80"/>
    <tableColumn id="42" xr3:uid="{0BF07B09-70B7-4F05-88CC-55A3D702E031}" uniqueName="42" name="MoM% Pulses and products" queryTableFieldId="45" dataDxfId="79"/>
    <tableColumn id="14" xr3:uid="{E3037F13-13AB-4A4C-A7BD-7EE2838A49F5}" uniqueName="14" name="Sugar and Confectionery" queryTableFieldId="14" dataDxfId="78"/>
    <tableColumn id="43" xr3:uid="{1ED51564-A915-41C8-9239-EF992099443D}" uniqueName="43" name="MoM% Sugar and Confectionery" queryTableFieldId="46" dataDxfId="77"/>
    <tableColumn id="15" xr3:uid="{7BE9A5A8-F5E4-46F5-9618-FADEBE2B4671}" uniqueName="15" name="Spices" queryTableFieldId="15" dataDxfId="76"/>
    <tableColumn id="44" xr3:uid="{4DBA4F2A-371A-4DFB-89AE-B64F4329EB1B}" uniqueName="44" name="MoM% Spices" queryTableFieldId="47" dataDxfId="75"/>
    <tableColumn id="16" xr3:uid="{3381EE33-0DD9-42B6-9E1E-00B194991FE8}" uniqueName="16" name="Non alcoholic beverages" queryTableFieldId="16" dataDxfId="74"/>
    <tableColumn id="45" xr3:uid="{83230613-6916-4B23-B6E9-30BFA216E849}" uniqueName="45" name="MoM% Non alcoholic beverages" queryTableFieldId="48" dataDxfId="73"/>
    <tableColumn id="17" xr3:uid="{7865FCDB-A4C4-4020-9D4D-6220ACCE4392}" uniqueName="17" name="Prepared meals, snacks, sweets etc" queryTableFieldId="17" dataDxfId="72"/>
    <tableColumn id="46" xr3:uid="{125AD320-FA6A-4F06-9C24-BF4C03EC65CE}" uniqueName="46" name="MoM% Prepared meals, snacks, sweets etc" queryTableFieldId="49" dataDxfId="71"/>
    <tableColumn id="18" xr3:uid="{5C7D050D-657F-4452-AC71-FD33AA6F916C}" uniqueName="18" name="Food and beverages" queryTableFieldId="18" dataDxfId="70"/>
    <tableColumn id="47" xr3:uid="{37E5B974-444F-426E-8617-E26281ECE2BE}" uniqueName="47" name="MoM% Food and beverages" queryTableFieldId="50" dataDxfId="69"/>
    <tableColumn id="19" xr3:uid="{0177A7FC-7EEE-49AF-ACDB-CDEABCF3CCFB}" uniqueName="19" name="Pan, tobacco and intoxicants" queryTableFieldId="19" dataDxfId="68"/>
    <tableColumn id="48" xr3:uid="{31A2FD47-02CD-423E-97AD-CEF055876730}" uniqueName="48" name="MoM% Pan, tobacco and intoxicants" queryTableFieldId="51" dataDxfId="67"/>
    <tableColumn id="20" xr3:uid="{9AC0A853-4712-441F-810D-47E37F2104D3}" uniqueName="20" name="Clothing" queryTableFieldId="20" dataDxfId="66"/>
    <tableColumn id="49" xr3:uid="{1C80A0AA-CF52-4E6B-B5B3-FBCC696A5566}" uniqueName="49" name="MoM% Clothing" queryTableFieldId="52" dataDxfId="65"/>
    <tableColumn id="21" xr3:uid="{6C9EA638-C506-43E3-BE33-596846C32073}" uniqueName="21" name="Footwear" queryTableFieldId="21" dataDxfId="64"/>
    <tableColumn id="50" xr3:uid="{8ADC32D4-4D43-4E4A-B12A-2F23BCEBA80D}" uniqueName="50" name="MoM% Footwear" queryTableFieldId="53" dataDxfId="63"/>
    <tableColumn id="22" xr3:uid="{05FB791D-71BF-4D40-B5D7-F60C04857C4A}" uniqueName="22" name="Clothing and footwear" queryTableFieldId="22" dataDxfId="62"/>
    <tableColumn id="51" xr3:uid="{AA7EDD57-F130-4D25-8B43-4CB6BECB8055}" uniqueName="51" name="MoM% Clothing and footwear" queryTableFieldId="54" dataDxfId="61"/>
    <tableColumn id="23" xr3:uid="{47A588E9-6F53-4B2F-B750-F93A86449C3F}" uniqueName="23" name="Housing" queryTableFieldId="23" dataDxfId="60"/>
    <tableColumn id="52" xr3:uid="{363EA47F-D810-45BA-B146-7347A6880B49}" uniqueName="52" name="MoM% Housing" queryTableFieldId="55" dataDxfId="59"/>
    <tableColumn id="24" xr3:uid="{908540DF-6C7B-4593-B86C-F47AA7B3CBF3}" uniqueName="24" name="Fuel and light" queryTableFieldId="24" dataDxfId="58"/>
    <tableColumn id="53" xr3:uid="{9C01FBB6-12E9-4794-A9E7-EA2434EDA2BB}" uniqueName="53" name="MoM% Fuel and light" queryTableFieldId="56" dataDxfId="57"/>
    <tableColumn id="25" xr3:uid="{414F3D17-58F5-44F7-B703-3EC32A455816}" uniqueName="25" name="Household goods and services" queryTableFieldId="25" dataDxfId="56"/>
    <tableColumn id="54" xr3:uid="{194EC20C-1E28-4C8D-8CA8-94EC867C9F01}" uniqueName="54" name="MoM% Household goods and services" queryTableFieldId="57" dataDxfId="55"/>
    <tableColumn id="26" xr3:uid="{38E3EBD4-9F1C-4191-9982-1B706622271C}" uniqueName="26" name="Health" queryTableFieldId="26" dataDxfId="54"/>
    <tableColumn id="55" xr3:uid="{E84AB461-71FF-4A27-BF9C-4E70AE2DA89B}" uniqueName="55" name="MoM% Health" queryTableFieldId="58" dataDxfId="53"/>
    <tableColumn id="27" xr3:uid="{5A947B1C-C5BA-4A88-B993-F350A1E618CB}" uniqueName="27" name="Transport and communication" queryTableFieldId="27" dataDxfId="52"/>
    <tableColumn id="56" xr3:uid="{C155787E-4F2C-4C72-8845-6DEF23AFBAFC}" uniqueName="56" name="MoM% Transport and communication" queryTableFieldId="59" dataDxfId="51"/>
    <tableColumn id="28" xr3:uid="{A2D82D7F-753F-4A43-82FB-565249C73192}" uniqueName="28" name="Recreation and amusement" queryTableFieldId="28" dataDxfId="50"/>
    <tableColumn id="57" xr3:uid="{C996E145-85CD-445D-88BB-81755F871351}" uniqueName="57" name="MoM% Recreation and amusement" queryTableFieldId="60" dataDxfId="49"/>
    <tableColumn id="29" xr3:uid="{2F72C9F7-6976-4155-8C98-B20FFEF835C6}" uniqueName="29" name="Education" queryTableFieldId="29" dataDxfId="48"/>
    <tableColumn id="58" xr3:uid="{6153B7DE-B7D7-43D6-AA6B-2B4A926EB1D1}" uniqueName="58" name="MoM% Education" queryTableFieldId="61" dataDxfId="47"/>
    <tableColumn id="30" xr3:uid="{03CCA6F3-CFCB-45FB-9E2A-152C3DAA3D5D}" uniqueName="30" name="Personal care and effects" queryTableFieldId="30" dataDxfId="46"/>
    <tableColumn id="59" xr3:uid="{3F1D0A05-3530-4EDA-B922-A9E1D0736949}" uniqueName="59" name="MoM% Personal care and effects" queryTableFieldId="62" dataDxfId="45"/>
    <tableColumn id="31" xr3:uid="{101F3060-5DFF-4E6E-A604-E70872841BF3}" uniqueName="31" name="Miscellaneous" queryTableFieldId="31" dataDxfId="44"/>
    <tableColumn id="60" xr3:uid="{0468FC04-E2A3-46C2-B423-71AF96726BDC}" uniqueName="60" name="MoM% Miscellaneous" queryTableFieldId="63" dataDxfId="43"/>
    <tableColumn id="32" xr3:uid="{21B77A4A-E9C4-4DC4-9558-43F12111E0C5}" uniqueName="32" name="General index" queryTableFieldId="32" dataDxfId="42"/>
    <tableColumn id="62" xr3:uid="{77A790DF-D82B-4D50-9EB9-8A9FE29D0512}" uniqueName="62" name="MoM% General index" queryTableFieldId="65" dataDxfId="4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3DE6663-4A43-45F9-B4A8-856D862A95BC}" name="Table13" displayName="Table13" ref="F41:H68" totalsRowShown="0">
  <autoFilter ref="F41:H68" xr:uid="{13DE6663-4A43-45F9-B4A8-856D862A95BC}"/>
  <tableColumns count="3">
    <tableColumn id="1" xr3:uid="{A4E755E3-0FC9-4B75-8D28-097800E93C52}" name="CPI Category" dataDxfId="40"/>
    <tableColumn id="2" xr3:uid="{0103A88D-7887-4A8D-87F1-935D2F782A9D}" name="Correlation" dataDxfId="39"/>
    <tableColumn id="3" xr3:uid="{DA248796-C461-4756-A9ED-0BF60720A122}" name="ABS Correlation" dataDxfId="38">
      <calculatedColumnFormula>ABS(G42)</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81B318-7A37-489F-A38F-FE846790A37B}" name="Rural_Urban_Combined" displayName="Rural_Urban_Combined" ref="A1:AF126" tableType="queryTable" totalsRowShown="0">
  <autoFilter ref="A1:AF126" xr:uid="{6C81B318-7A37-489F-A38F-FE846790A37B}"/>
  <tableColumns count="32">
    <tableColumn id="1" xr3:uid="{54A31065-EC87-40FF-9B4D-B2B0ADFE3B81}" uniqueName="1" name="Sector" queryTableFieldId="1" dataDxfId="37"/>
    <tableColumn id="2" xr3:uid="{1DB04784-C936-430D-9756-CE5B148E3A1B}" uniqueName="2" name="Year" queryTableFieldId="2"/>
    <tableColumn id="3" xr3:uid="{23E4757B-7356-4AFF-94D1-7B498D20B92E}" uniqueName="3" name="Month" queryTableFieldId="3" dataDxfId="36"/>
    <tableColumn id="4" xr3:uid="{784320AF-4719-40CC-8CBE-92D752522173}" uniqueName="4" name="Month Number" queryTableFieldId="4"/>
    <tableColumn id="5" xr3:uid="{C455311C-0209-4CE7-9609-C724DAFE647B}" uniqueName="5" name="Date" queryTableFieldId="5" dataDxfId="35"/>
    <tableColumn id="6" xr3:uid="{9145FCB8-96CB-4FCA-A04B-86275B8507E0}" uniqueName="6" name="Cereals and products" queryTableFieldId="6" dataDxfId="34"/>
    <tableColumn id="7" xr3:uid="{69EC6B56-89FF-4F54-B554-BCEB0AE62DDC}" uniqueName="7" name="Meat and fish" queryTableFieldId="7" dataDxfId="33"/>
    <tableColumn id="8" xr3:uid="{6E601DE4-F52E-44C1-B3E4-7246BE471F70}" uniqueName="8" name="Egg" queryTableFieldId="8" dataDxfId="32"/>
    <tableColumn id="9" xr3:uid="{8EEEFB62-AA82-49FB-A64C-CE64173BE28B}" uniqueName="9" name="Milk and products" queryTableFieldId="9" dataDxfId="31"/>
    <tableColumn id="10" xr3:uid="{457583CB-957E-4BD4-B6B1-8F9C2EEB3E6B}" uniqueName="10" name="Oils and fats" queryTableFieldId="10" dataDxfId="30"/>
    <tableColumn id="11" xr3:uid="{DFD4F220-6525-4135-A2DA-7DEEA7BD4F32}" uniqueName="11" name="Fruits" queryTableFieldId="11" dataDxfId="29"/>
    <tableColumn id="12" xr3:uid="{91B5EA7C-4B2E-4B2A-8589-A387DFBC4FA1}" uniqueName="12" name="Vegetables" queryTableFieldId="12" dataDxfId="28"/>
    <tableColumn id="13" xr3:uid="{3A02315D-09FF-4306-A939-735EB101956D}" uniqueName="13" name="Pulses and products" queryTableFieldId="13" dataDxfId="27"/>
    <tableColumn id="14" xr3:uid="{060742AD-DB6B-4D96-8D92-04158778480E}" uniqueName="14" name="Sugar and Confectionery" queryTableFieldId="14" dataDxfId="26"/>
    <tableColumn id="15" xr3:uid="{14AAF298-28E5-4F4D-A6E5-84B383DEC8BA}" uniqueName="15" name="Spices" queryTableFieldId="15" dataDxfId="25"/>
    <tableColumn id="87" xr3:uid="{C7EFE044-D752-468D-AA18-8BBC6E14C244}" uniqueName="87" name="Non alcoholic beverages" queryTableFieldId="87"/>
    <tableColumn id="88" xr3:uid="{0B8CE303-0503-4B4D-AADF-590CA017F99B}" uniqueName="88" name="Prepared meals, snacks, sweets etc" queryTableFieldId="88"/>
    <tableColumn id="18" xr3:uid="{DEA80CE4-4A9B-495C-AC8D-0BCB8EE410AB}" uniqueName="18" name="Food and beverages" queryTableFieldId="18" dataDxfId="24"/>
    <tableColumn id="19" xr3:uid="{4D698FC0-CDB1-499C-9A85-575538007FDE}" uniqueName="19" name="Pan, tobacco and intoxicants" queryTableFieldId="19" dataDxfId="23"/>
    <tableColumn id="20" xr3:uid="{1F59AC94-963D-410A-A425-54044513E307}" uniqueName="20" name="Clothing" queryTableFieldId="20" dataDxfId="22"/>
    <tableColumn id="21" xr3:uid="{6AE624DF-48C4-4F3F-955D-A55919B2C9B6}" uniqueName="21" name="Footwear" queryTableFieldId="21" dataDxfId="21"/>
    <tableColumn id="22" xr3:uid="{9405281C-D766-468E-A698-087505D8E2B3}" uniqueName="22" name="Clothing and footwear" queryTableFieldId="22" dataDxfId="20"/>
    <tableColumn id="23" xr3:uid="{A4A74AC3-D321-4772-8102-ED98C88CF787}" uniqueName="23" name="Housing" queryTableFieldId="23" dataDxfId="19"/>
    <tableColumn id="24" xr3:uid="{B7A235F3-7682-4CF2-A070-1052C549D00D}" uniqueName="24" name="Fuel and light" queryTableFieldId="24" dataDxfId="18"/>
    <tableColumn id="25" xr3:uid="{E5D57E20-D04B-49FC-A2BD-FF1B73491352}" uniqueName="25" name="Household goods and services" queryTableFieldId="25" dataDxfId="17"/>
    <tableColumn id="26" xr3:uid="{684340B1-9FF6-4887-B9D4-55C4E3291817}" uniqueName="26" name="Health" queryTableFieldId="26" dataDxfId="16"/>
    <tableColumn id="27" xr3:uid="{4610A7C8-D846-4D67-830A-DD65D6675795}" uniqueName="27" name="Transport and communication" queryTableFieldId="27" dataDxfId="15"/>
    <tableColumn id="28" xr3:uid="{25C4022D-81EF-40DE-86B6-E6E0A759A483}" uniqueName="28" name="Recreation and amusement" queryTableFieldId="28" dataDxfId="14"/>
    <tableColumn id="29" xr3:uid="{B6A29B57-9E38-46FD-BCAD-B46533F8BE96}" uniqueName="29" name="Education" queryTableFieldId="29" dataDxfId="13"/>
    <tableColumn id="30" xr3:uid="{0CB016DC-A548-4CB0-8D80-ABBC0C8BB363}" uniqueName="30" name="Personal care and effects" queryTableFieldId="30" dataDxfId="12"/>
    <tableColumn id="31" xr3:uid="{4BF602FF-6B55-482C-B24D-B3B73CBA302D}" uniqueName="31" name="Miscellaneous" queryTableFieldId="31" dataDxfId="11"/>
    <tableColumn id="32" xr3:uid="{97D380FF-E3D0-4403-8169-0B7FB06F4E23}" uniqueName="32" name="General index" queryTableFieldId="32" dataDxfId="1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3FF38E-E905-4C80-ABB7-99A44A7DD9B4}" name="Table6" displayName="Table6" ref="A5:AF9" totalsRowShown="0" headerRowDxfId="9" headerRowBorderDxfId="7" tableBorderDxfId="8" totalsRowBorderDxfId="6">
  <autoFilter ref="A5:AF9" xr:uid="{E63FF38E-E905-4C80-ABB7-99A44A7DD9B4}"/>
  <tableColumns count="32">
    <tableColumn id="1" xr3:uid="{4B86948D-C4B8-40C8-A59E-8B95F1737986}" name="Sector"/>
    <tableColumn id="2" xr3:uid="{78E7CA42-3DDD-4B20-94C8-6F191007E32E}" name="Year"/>
    <tableColumn id="3" xr3:uid="{B859A9A4-EE37-4129-AAD3-F414E09FFEF9}" name="Month"/>
    <tableColumn id="4" xr3:uid="{D1616775-617F-4D1C-8AF5-35F5BC2A4DD5}" name="Month Number"/>
    <tableColumn id="5" xr3:uid="{EED6421F-4FDF-4537-A383-313EF28BCA5E}" name="Date"/>
    <tableColumn id="6" xr3:uid="{55577307-4F7B-47C1-938C-FA3F790A6552}" name="Cereals and products"/>
    <tableColumn id="7" xr3:uid="{AE9F2DE5-C855-430E-A63F-2934B6504D7C}" name="Meat and fish"/>
    <tableColumn id="8" xr3:uid="{32C77A5E-7196-473B-AAB4-7F361AFC6106}" name="Egg"/>
    <tableColumn id="9" xr3:uid="{5B981F47-E027-4B3C-998C-9B5E6F1CC43B}" name="Milk and products"/>
    <tableColumn id="10" xr3:uid="{25FD1C3E-9633-4F1D-BCF4-69FB8E660D33}" name="Oils and fats"/>
    <tableColumn id="11" xr3:uid="{B0242E6A-EB4A-4C9F-B81F-E7D1046C8865}" name="Fruits"/>
    <tableColumn id="12" xr3:uid="{876AFD0A-7383-4C18-AFEA-33A28B817D9D}" name="Vegetables"/>
    <tableColumn id="13" xr3:uid="{37A52ADF-D16D-47A8-9B8B-A8978F3A6232}" name="Pulses and products"/>
    <tableColumn id="14" xr3:uid="{0FFB2C08-6F86-45F8-9E22-0B2993D3CACB}" name="Sugar and Confectionery"/>
    <tableColumn id="15" xr3:uid="{CF7A6A19-74BB-42DB-ABC1-629703053F07}" name="Spices"/>
    <tableColumn id="16" xr3:uid="{D89C4864-0B20-42B1-A4E7-6417C9415889}" name="Non-alcoholic beverages"/>
    <tableColumn id="17" xr3:uid="{A8897F72-63A7-49C8-9A92-6BE01207D0B4}" name="Prepared meals, snacks, sweets etc."/>
    <tableColumn id="18" xr3:uid="{F25B6EBC-701A-4620-B5C0-95D7466F9987}" name="Food and beverages"/>
    <tableColumn id="19" xr3:uid="{05395110-390B-4F07-A05C-4A00BFFB04DE}" name="Pan, tobacco and intoxicants"/>
    <tableColumn id="20" xr3:uid="{310F304F-FA65-4363-ABB2-56431C44E7B6}" name="Clothing"/>
    <tableColumn id="21" xr3:uid="{8DB3448B-85E1-4531-8C3E-E1C6E3BF1AC6}" name="Footwear"/>
    <tableColumn id="22" xr3:uid="{33E5D681-E066-40F7-A7E5-8335975210A2}" name="Clothing and footwear"/>
    <tableColumn id="23" xr3:uid="{2FD7B501-CC64-4F25-AC45-6B16D5DFD8DC}" name="Housing"/>
    <tableColumn id="24" xr3:uid="{EC801BC5-E325-44EE-82AF-CC55A2398A3C}" name="Fuel and light"/>
    <tableColumn id="25" xr3:uid="{43886509-5DF3-4B98-99D6-389F40B4F57F}" name="Household goods and services"/>
    <tableColumn id="26" xr3:uid="{58144963-3697-4BA8-9CEB-D0A0F02E67B0}" name="Health"/>
    <tableColumn id="27" xr3:uid="{D2876585-BCF4-4034-91BB-42A8292DFFD7}" name="Transport and communication"/>
    <tableColumn id="28" xr3:uid="{C88CCD27-CFA9-4CA9-B713-1A82B6B6CA13}" name="Recreation and amusement"/>
    <tableColumn id="29" xr3:uid="{8F6FB00B-9479-4158-87D1-9DA39FDE199A}" name="Education"/>
    <tableColumn id="30" xr3:uid="{01EB53AF-4657-4F42-8DAA-391AA21CE143}" name="Personal care and effects"/>
    <tableColumn id="31" xr3:uid="{44AD9D32-E054-460E-83D7-6DA3458B7F73}" name="Miscellaneous"/>
    <tableColumn id="32" xr3:uid="{8F5972CF-FB43-43F4-8655-081DFC171813}" name="General index"/>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927AC3-8225-4435-8555-7C724E8EB435}" name="April19" displayName="April19" ref="A6:AF9" totalsRowShown="0" headerRowDxfId="5" headerRowBorderDxfId="3" tableBorderDxfId="4" totalsRowBorderDxfId="2">
  <autoFilter ref="A6:AF9" xr:uid="{EC927AC3-8225-4435-8555-7C724E8EB435}"/>
  <tableColumns count="32">
    <tableColumn id="1" xr3:uid="{CB523972-C403-421C-93F8-D0B39C4A2117}" name="Sector"/>
    <tableColumn id="2" xr3:uid="{8BF8A523-D7CC-4491-BB8F-1D55C7D348BE}" name="Year"/>
    <tableColumn id="3" xr3:uid="{499C2460-2995-47DF-AF92-F1F6303B26E0}" name="Month"/>
    <tableColumn id="4" xr3:uid="{7026CB2F-0C52-456D-82A2-94056AE1273F}" name="Month Number"/>
    <tableColumn id="5" xr3:uid="{3A8F25FC-229D-4EB3-B7C5-CDFD16603F3F}" name="Date"/>
    <tableColumn id="6" xr3:uid="{165CA7AA-55DC-48AE-9750-9358F29017A6}" name="Cereals and products"/>
    <tableColumn id="7" xr3:uid="{272E36C1-856B-4A70-AA92-F1FF8E75752D}" name="Meat and fish"/>
    <tableColumn id="8" xr3:uid="{5D439483-2D6E-485A-A69E-CD10A4AA922B}" name="Egg"/>
    <tableColumn id="9" xr3:uid="{7FA8D452-A075-4E83-8879-ED49910D832E}" name="Milk and products"/>
    <tableColumn id="10" xr3:uid="{820B7D17-42B2-4DED-B498-7F6A351E740E}" name="Oils and fats"/>
    <tableColumn id="11" xr3:uid="{1AF741A0-7A26-4CD9-B55E-6EC85F74AB14}" name="Fruits"/>
    <tableColumn id="12" xr3:uid="{0A81B385-683C-4144-92E4-36BA741256F2}" name="Vegetables"/>
    <tableColumn id="13" xr3:uid="{62A0B5A1-7A47-498C-AFA1-3158A1AEBFE6}" name="Pulses and products"/>
    <tableColumn id="14" xr3:uid="{38358251-0530-4F2A-87F1-45A354DD7B80}" name="Sugar and Confectionery"/>
    <tableColumn id="15" xr3:uid="{3010462E-2A95-4065-B3D1-2F72AABF95B7}" name="Spices"/>
    <tableColumn id="16" xr3:uid="{7F3FA302-DCAF-4A3F-947F-6F68E20D7FCB}" name="Non alcoholic beverages"/>
    <tableColumn id="17" xr3:uid="{FC3E020E-83F5-4E00-8913-3A4D18AAD2E4}" name="Prepared meals, snacks, sweets etc"/>
    <tableColumn id="18" xr3:uid="{A3C540FE-4DEF-41A6-8C99-76E40BD01B77}" name="Food and beverages"/>
    <tableColumn id="19" xr3:uid="{A72907DC-01A0-4757-B371-F8E506D331F6}" name="Pan, tobacco and intoxicants"/>
    <tableColumn id="20" xr3:uid="{8F970F04-CAFF-4739-8315-0A06C37DA63C}" name="Clothing"/>
    <tableColumn id="21" xr3:uid="{FC883A3A-3193-48E6-B8F0-238502537270}" name="Footwear"/>
    <tableColumn id="22" xr3:uid="{484085FF-92BA-40C5-A7C4-91DCCFE38AB0}" name="Clothing and footwear"/>
    <tableColumn id="23" xr3:uid="{8DD747FF-CEC4-4B35-9085-917AA482D0AD}" name="Housing"/>
    <tableColumn id="24" xr3:uid="{986FDC31-B9F4-42E3-8551-EFCB4CCA6E70}" name="Fuel and light"/>
    <tableColumn id="25" xr3:uid="{FD288587-766C-4337-A12A-EFC637FA1C4C}" name="Household goods and services"/>
    <tableColumn id="26" xr3:uid="{BBE9E371-F966-480E-B236-299B5BF53F99}" name="Health"/>
    <tableColumn id="27" xr3:uid="{60DB77D2-ED3E-430A-A7AE-6A1FF17F540B}" name="Transport and communication"/>
    <tableColumn id="28" xr3:uid="{6300ED90-E6D6-4114-A9FB-2AC2B85CD95B}" name="Recreation and amusement"/>
    <tableColumn id="29" xr3:uid="{A5749C70-3AC1-41F7-A9D9-14D422B0669B}" name="Education"/>
    <tableColumn id="30" xr3:uid="{4D10FEFD-0D80-4747-B3EC-B7418840CCF0}" name="Personal care and effects"/>
    <tableColumn id="31" xr3:uid="{F3B268F8-5F72-4102-94DD-5BF73BBCC7E6}" name="Miscellaneous"/>
    <tableColumn id="32" xr3:uid="{D036293D-F362-4A02-952E-B1DE4A7EDD42}" name="General index"/>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A6DCDA9-A84F-46F8-8676-BED3A1CC2D89}" name="Imported_Oil_price_index" displayName="Imported_Oil_price_index" ref="A3:C32" tableType="queryTable" totalsRowShown="0">
  <autoFilter ref="A3:C32" xr:uid="{0A6DCDA9-A84F-46F8-8676-BED3A1CC2D89}"/>
  <tableColumns count="3">
    <tableColumn id="1" xr3:uid="{526E9BA1-A763-4069-B692-CCEBC01D2A45}" uniqueName="1" name="Month" queryTableFieldId="1" dataDxfId="1"/>
    <tableColumn id="2" xr3:uid="{1D80B9A3-5D5D-4C7F-89EE-31C6E6F814B4}" uniqueName="2" name="Price" queryTableFieldId="2"/>
    <tableColumn id="3" xr3:uid="{9A79E81C-AE6A-4119-BAC7-71553F62977D}" uniqueName="3" name="Change" queryTableFieldId="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 Id="rId4"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9FE95-6527-4193-AF86-B81B91F24578}">
  <dimension ref="A1:AD373"/>
  <sheetViews>
    <sheetView workbookViewId="0"/>
  </sheetViews>
  <sheetFormatPr defaultRowHeight="14.45"/>
  <cols>
    <col min="1" max="1" width="11.140625" bestFit="1" customWidth="1"/>
    <col min="2" max="2" width="6.85546875" bestFit="1" customWidth="1"/>
    <col min="3" max="3" width="9.7109375" bestFit="1" customWidth="1"/>
    <col min="4" max="4" width="21" bestFit="1" customWidth="1"/>
    <col min="5" max="5" width="14.140625" bestFit="1" customWidth="1"/>
    <col min="6" max="6" width="6" bestFit="1" customWidth="1"/>
    <col min="7" max="7" width="18.140625" bestFit="1" customWidth="1"/>
    <col min="8" max="8" width="13.42578125" bestFit="1" customWidth="1"/>
    <col min="9" max="9" width="8" bestFit="1" customWidth="1"/>
    <col min="10" max="10" width="12.42578125" bestFit="1" customWidth="1"/>
    <col min="11" max="11" width="20.140625" bestFit="1" customWidth="1"/>
    <col min="12" max="12" width="23.5703125" bestFit="1" customWidth="1"/>
    <col min="14" max="14" width="24" bestFit="1" customWidth="1"/>
    <col min="15" max="15" width="33.7109375" bestFit="1" customWidth="1"/>
    <col min="16" max="16" width="19.7109375" bestFit="1" customWidth="1"/>
    <col min="17" max="17" width="27.28515625" bestFit="1" customWidth="1"/>
    <col min="18" max="18" width="10.140625" bestFit="1" customWidth="1"/>
    <col min="19" max="19" width="10.85546875" bestFit="1" customWidth="1"/>
    <col min="20" max="20" width="21.28515625" bestFit="1" customWidth="1"/>
    <col min="21" max="21" width="9.85546875" bestFit="1" customWidth="1"/>
    <col min="22" max="22" width="14.28515625" bestFit="1" customWidth="1"/>
    <col min="23" max="23" width="28.42578125" bestFit="1" customWidth="1"/>
    <col min="24" max="24" width="8.7109375" bestFit="1" customWidth="1"/>
    <col min="25" max="25" width="28.42578125" bestFit="1" customWidth="1"/>
    <col min="26" max="26" width="26.28515625" bestFit="1" customWidth="1"/>
    <col min="27" max="27" width="11.5703125" bestFit="1" customWidth="1"/>
    <col min="28" max="28" width="24.28515625" bestFit="1" customWidth="1"/>
    <col min="29" max="29" width="15.140625" bestFit="1" customWidth="1"/>
    <col min="30" max="30" width="14.7109375" bestFit="1"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t="s">
        <v>34</v>
      </c>
      <c r="V3">
        <v>105.4</v>
      </c>
      <c r="W3">
        <v>104.8</v>
      </c>
      <c r="X3">
        <v>104.1</v>
      </c>
      <c r="Y3">
        <v>103.2</v>
      </c>
      <c r="Z3">
        <v>102.9</v>
      </c>
      <c r="AA3">
        <v>103.5</v>
      </c>
      <c r="AB3">
        <v>104.3</v>
      </c>
      <c r="AC3">
        <v>103.7</v>
      </c>
      <c r="AD3">
        <v>104</v>
      </c>
    </row>
    <row r="4" spans="1:30">
      <c r="A4" t="s">
        <v>35</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t="s">
        <v>34</v>
      </c>
      <c r="V4">
        <v>105.5</v>
      </c>
      <c r="W4">
        <v>104.8</v>
      </c>
      <c r="X4">
        <v>104</v>
      </c>
      <c r="Y4">
        <v>103.2</v>
      </c>
      <c r="Z4">
        <v>103.1</v>
      </c>
      <c r="AA4">
        <v>103.6</v>
      </c>
      <c r="AB4">
        <v>104.5</v>
      </c>
      <c r="AC4">
        <v>103.9</v>
      </c>
      <c r="AD4">
        <v>104.6</v>
      </c>
    </row>
    <row r="5" spans="1:30">
      <c r="A5" t="s">
        <v>30</v>
      </c>
      <c r="B5">
        <v>2013</v>
      </c>
      <c r="C5" t="s">
        <v>36</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c r="A6" t="s">
        <v>33</v>
      </c>
      <c r="B6">
        <v>2013</v>
      </c>
      <c r="C6" t="s">
        <v>36</v>
      </c>
      <c r="D6">
        <v>112.9</v>
      </c>
      <c r="E6">
        <v>112.9</v>
      </c>
      <c r="F6">
        <v>116.9</v>
      </c>
      <c r="G6">
        <v>104</v>
      </c>
      <c r="H6">
        <v>103.5</v>
      </c>
      <c r="I6">
        <v>103.1</v>
      </c>
      <c r="J6">
        <v>104.9</v>
      </c>
      <c r="K6">
        <v>104.1</v>
      </c>
      <c r="L6">
        <v>103.8</v>
      </c>
      <c r="M6">
        <v>102.3</v>
      </c>
      <c r="N6">
        <v>106</v>
      </c>
      <c r="O6">
        <v>109</v>
      </c>
      <c r="P6">
        <v>107.2</v>
      </c>
      <c r="Q6">
        <v>106</v>
      </c>
      <c r="R6">
        <v>106.6</v>
      </c>
      <c r="S6">
        <v>105.5</v>
      </c>
      <c r="T6">
        <v>106.4</v>
      </c>
      <c r="U6" t="s">
        <v>37</v>
      </c>
      <c r="V6">
        <v>105.7</v>
      </c>
      <c r="W6">
        <v>105.2</v>
      </c>
      <c r="X6">
        <v>104.7</v>
      </c>
      <c r="Y6">
        <v>104.4</v>
      </c>
      <c r="Z6">
        <v>103.3</v>
      </c>
      <c r="AA6">
        <v>103.7</v>
      </c>
      <c r="AB6">
        <v>104.3</v>
      </c>
      <c r="AC6">
        <v>104.3</v>
      </c>
      <c r="AD6">
        <v>104.7</v>
      </c>
    </row>
    <row r="7" spans="1:30">
      <c r="A7" t="s">
        <v>35</v>
      </c>
      <c r="B7">
        <v>2013</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t="s">
        <v>37</v>
      </c>
      <c r="V7">
        <v>106</v>
      </c>
      <c r="W7">
        <v>105.2</v>
      </c>
      <c r="X7">
        <v>104.5</v>
      </c>
      <c r="Y7">
        <v>104.2</v>
      </c>
      <c r="Z7">
        <v>103.6</v>
      </c>
      <c r="AA7">
        <v>103.9</v>
      </c>
      <c r="AB7">
        <v>104.5</v>
      </c>
      <c r="AC7">
        <v>104.4</v>
      </c>
      <c r="AD7">
        <v>105.3</v>
      </c>
    </row>
    <row r="8" spans="1:30">
      <c r="A8" t="s">
        <v>30</v>
      </c>
      <c r="B8">
        <v>2013</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c r="A9" t="s">
        <v>33</v>
      </c>
      <c r="B9">
        <v>2013</v>
      </c>
      <c r="C9" t="s">
        <v>38</v>
      </c>
      <c r="D9">
        <v>113.9</v>
      </c>
      <c r="E9">
        <v>111.4</v>
      </c>
      <c r="F9">
        <v>113.2</v>
      </c>
      <c r="G9">
        <v>104.3</v>
      </c>
      <c r="H9">
        <v>102.7</v>
      </c>
      <c r="I9">
        <v>104.9</v>
      </c>
      <c r="J9">
        <v>103.8</v>
      </c>
      <c r="K9">
        <v>103.5</v>
      </c>
      <c r="L9">
        <v>102.6</v>
      </c>
      <c r="M9">
        <v>102.4</v>
      </c>
      <c r="N9">
        <v>107</v>
      </c>
      <c r="O9">
        <v>109.8</v>
      </c>
      <c r="P9">
        <v>107.3</v>
      </c>
      <c r="Q9">
        <v>106.8</v>
      </c>
      <c r="R9">
        <v>107.2</v>
      </c>
      <c r="S9">
        <v>106</v>
      </c>
      <c r="T9">
        <v>107</v>
      </c>
      <c r="U9" t="s">
        <v>37</v>
      </c>
      <c r="V9">
        <v>106</v>
      </c>
      <c r="W9">
        <v>105.7</v>
      </c>
      <c r="X9">
        <v>105.2</v>
      </c>
      <c r="Y9">
        <v>105.5</v>
      </c>
      <c r="Z9">
        <v>103.5</v>
      </c>
      <c r="AA9">
        <v>103.8</v>
      </c>
      <c r="AB9">
        <v>104.2</v>
      </c>
      <c r="AC9">
        <v>104.9</v>
      </c>
      <c r="AD9">
        <v>105</v>
      </c>
    </row>
    <row r="10" spans="1:30">
      <c r="A10" t="s">
        <v>35</v>
      </c>
      <c r="B10">
        <v>2013</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t="s">
        <v>37</v>
      </c>
      <c r="V10">
        <v>106.1</v>
      </c>
      <c r="W10">
        <v>105.6</v>
      </c>
      <c r="X10">
        <v>104.9</v>
      </c>
      <c r="Y10">
        <v>105.1</v>
      </c>
      <c r="Z10">
        <v>103.7</v>
      </c>
      <c r="AA10">
        <v>104</v>
      </c>
      <c r="AB10">
        <v>104.3</v>
      </c>
      <c r="AC10">
        <v>104.7</v>
      </c>
      <c r="AD10">
        <v>105.5</v>
      </c>
    </row>
    <row r="11" spans="1:30">
      <c r="A11" t="s">
        <v>30</v>
      </c>
      <c r="B11">
        <v>2013</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c r="A12" t="s">
        <v>33</v>
      </c>
      <c r="B12">
        <v>2013</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t="s">
        <v>40</v>
      </c>
      <c r="V12">
        <v>106.4</v>
      </c>
      <c r="W12">
        <v>106.5</v>
      </c>
      <c r="X12">
        <v>105.7</v>
      </c>
      <c r="Y12">
        <v>105</v>
      </c>
      <c r="Z12">
        <v>104</v>
      </c>
      <c r="AA12">
        <v>105.2</v>
      </c>
      <c r="AB12">
        <v>103.2</v>
      </c>
      <c r="AC12">
        <v>105.1</v>
      </c>
      <c r="AD12">
        <v>105.7</v>
      </c>
    </row>
    <row r="13" spans="1:30">
      <c r="A13" t="s">
        <v>35</v>
      </c>
      <c r="B13">
        <v>2013</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t="s">
        <v>40</v>
      </c>
      <c r="V13">
        <v>106.5</v>
      </c>
      <c r="W13">
        <v>106.3</v>
      </c>
      <c r="X13">
        <v>105.3</v>
      </c>
      <c r="Y13">
        <v>104.7</v>
      </c>
      <c r="Z13">
        <v>104.2</v>
      </c>
      <c r="AA13">
        <v>105</v>
      </c>
      <c r="AB13">
        <v>102.9</v>
      </c>
      <c r="AC13">
        <v>104.8</v>
      </c>
      <c r="AD13">
        <v>106.1</v>
      </c>
    </row>
    <row r="14" spans="1:30">
      <c r="A14" t="s">
        <v>30</v>
      </c>
      <c r="B14">
        <v>2013</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c r="A15" t="s">
        <v>33</v>
      </c>
      <c r="B15">
        <v>2013</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t="s">
        <v>40</v>
      </c>
      <c r="V15">
        <v>107.2</v>
      </c>
      <c r="W15">
        <v>107.1</v>
      </c>
      <c r="X15">
        <v>106.2</v>
      </c>
      <c r="Y15">
        <v>103.9</v>
      </c>
      <c r="Z15">
        <v>104.6</v>
      </c>
      <c r="AA15">
        <v>105.7</v>
      </c>
      <c r="AB15">
        <v>102.6</v>
      </c>
      <c r="AC15">
        <v>104.9</v>
      </c>
      <c r="AD15">
        <v>106.6</v>
      </c>
    </row>
    <row r="16" spans="1:30">
      <c r="A16" t="s">
        <v>35</v>
      </c>
      <c r="B16">
        <v>2013</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t="s">
        <v>40</v>
      </c>
      <c r="V16">
        <v>107.4</v>
      </c>
      <c r="W16">
        <v>106.9</v>
      </c>
      <c r="X16">
        <v>105.9</v>
      </c>
      <c r="Y16">
        <v>104</v>
      </c>
      <c r="Z16">
        <v>104.8</v>
      </c>
      <c r="AA16">
        <v>105.6</v>
      </c>
      <c r="AB16">
        <v>102.3</v>
      </c>
      <c r="AC16">
        <v>104.8</v>
      </c>
      <c r="AD16">
        <v>106.9</v>
      </c>
    </row>
    <row r="17" spans="1:30">
      <c r="A17" t="s">
        <v>30</v>
      </c>
      <c r="B17">
        <v>2013</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t="s">
        <v>33</v>
      </c>
      <c r="B18">
        <v>2013</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t="s">
        <v>43</v>
      </c>
      <c r="V18">
        <v>108</v>
      </c>
      <c r="W18">
        <v>107.7</v>
      </c>
      <c r="X18">
        <v>106.5</v>
      </c>
      <c r="Y18">
        <v>105.2</v>
      </c>
      <c r="Z18">
        <v>105.2</v>
      </c>
      <c r="AA18">
        <v>108.1</v>
      </c>
      <c r="AB18">
        <v>103.3</v>
      </c>
      <c r="AC18">
        <v>106.1</v>
      </c>
      <c r="AD18">
        <v>109.7</v>
      </c>
    </row>
    <row r="19" spans="1:30">
      <c r="A19" t="s">
        <v>35</v>
      </c>
      <c r="B19">
        <v>2013</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t="s">
        <v>43</v>
      </c>
      <c r="V19">
        <v>108.3</v>
      </c>
      <c r="W19">
        <v>107.6</v>
      </c>
      <c r="X19">
        <v>106.4</v>
      </c>
      <c r="Y19">
        <v>105.1</v>
      </c>
      <c r="Z19">
        <v>105.4</v>
      </c>
      <c r="AA19">
        <v>107.4</v>
      </c>
      <c r="AB19">
        <v>102.8</v>
      </c>
      <c r="AC19">
        <v>105.8</v>
      </c>
      <c r="AD19">
        <v>109.3</v>
      </c>
    </row>
    <row r="20" spans="1:30">
      <c r="A20" t="s">
        <v>30</v>
      </c>
      <c r="B20">
        <v>2013</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t="s">
        <v>33</v>
      </c>
      <c r="B21">
        <v>2013</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t="s">
        <v>45</v>
      </c>
      <c r="V21">
        <v>108.6</v>
      </c>
      <c r="W21">
        <v>108.1</v>
      </c>
      <c r="X21">
        <v>107.1</v>
      </c>
      <c r="Y21">
        <v>107.3</v>
      </c>
      <c r="Z21">
        <v>105.9</v>
      </c>
      <c r="AA21">
        <v>110.1</v>
      </c>
      <c r="AB21">
        <v>103.2</v>
      </c>
      <c r="AC21">
        <v>107.3</v>
      </c>
      <c r="AD21">
        <v>111.4</v>
      </c>
    </row>
    <row r="22" spans="1:30">
      <c r="A22" t="s">
        <v>35</v>
      </c>
      <c r="B22">
        <v>2013</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t="s">
        <v>45</v>
      </c>
      <c r="V22">
        <v>109.2</v>
      </c>
      <c r="W22">
        <v>108.2</v>
      </c>
      <c r="X22">
        <v>107</v>
      </c>
      <c r="Y22">
        <v>107.1</v>
      </c>
      <c r="Z22">
        <v>106.1</v>
      </c>
      <c r="AA22">
        <v>109.1</v>
      </c>
      <c r="AB22">
        <v>102.8</v>
      </c>
      <c r="AC22">
        <v>106.9</v>
      </c>
      <c r="AD22">
        <v>111</v>
      </c>
    </row>
    <row r="23" spans="1:30">
      <c r="A23" t="s">
        <v>30</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t="s">
        <v>33</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t="s">
        <v>47</v>
      </c>
      <c r="V24">
        <v>109.3</v>
      </c>
      <c r="W24">
        <v>108.7</v>
      </c>
      <c r="X24">
        <v>107.6</v>
      </c>
      <c r="Y24">
        <v>108.1</v>
      </c>
      <c r="Z24">
        <v>106.5</v>
      </c>
      <c r="AA24">
        <v>110.8</v>
      </c>
      <c r="AB24">
        <v>106</v>
      </c>
      <c r="AC24">
        <v>108.3</v>
      </c>
      <c r="AD24">
        <v>112.7</v>
      </c>
    </row>
    <row r="25" spans="1:30">
      <c r="A25" t="s">
        <v>35</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t="s">
        <v>47</v>
      </c>
      <c r="V25">
        <v>109.7</v>
      </c>
      <c r="W25">
        <v>108.7</v>
      </c>
      <c r="X25">
        <v>107.5</v>
      </c>
      <c r="Y25">
        <v>108</v>
      </c>
      <c r="Z25">
        <v>106.6</v>
      </c>
      <c r="AA25">
        <v>109.9</v>
      </c>
      <c r="AB25">
        <v>105.4</v>
      </c>
      <c r="AC25">
        <v>107.9</v>
      </c>
      <c r="AD25">
        <v>112.4</v>
      </c>
    </row>
    <row r="26" spans="1:30">
      <c r="A26" t="s">
        <v>30</v>
      </c>
      <c r="B26">
        <v>2013</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t="s">
        <v>33</v>
      </c>
      <c r="B27">
        <v>2013</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t="s">
        <v>49</v>
      </c>
      <c r="V27">
        <v>109.5</v>
      </c>
      <c r="W27">
        <v>109.6</v>
      </c>
      <c r="X27">
        <v>107.9</v>
      </c>
      <c r="Y27">
        <v>110.4</v>
      </c>
      <c r="Z27">
        <v>107.4</v>
      </c>
      <c r="AA27">
        <v>111.2</v>
      </c>
      <c r="AB27">
        <v>106.9</v>
      </c>
      <c r="AC27">
        <v>109.4</v>
      </c>
      <c r="AD27">
        <v>113.2</v>
      </c>
    </row>
    <row r="28" spans="1:30">
      <c r="A28" t="s">
        <v>35</v>
      </c>
      <c r="B28">
        <v>2013</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t="s">
        <v>49</v>
      </c>
      <c r="V28">
        <v>110.5</v>
      </c>
      <c r="W28">
        <v>109.6</v>
      </c>
      <c r="X28">
        <v>108.1</v>
      </c>
      <c r="Y28">
        <v>109.9</v>
      </c>
      <c r="Z28">
        <v>107.5</v>
      </c>
      <c r="AA28">
        <v>110.6</v>
      </c>
      <c r="AB28">
        <v>106.8</v>
      </c>
      <c r="AC28">
        <v>109</v>
      </c>
      <c r="AD28">
        <v>113.7</v>
      </c>
    </row>
    <row r="29" spans="1:30">
      <c r="A29" t="s">
        <v>30</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t="s">
        <v>33</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t="s">
        <v>51</v>
      </c>
      <c r="V30">
        <v>109.7</v>
      </c>
      <c r="W30">
        <v>110.2</v>
      </c>
      <c r="X30">
        <v>108.2</v>
      </c>
      <c r="Y30">
        <v>109.7</v>
      </c>
      <c r="Z30">
        <v>108</v>
      </c>
      <c r="AA30">
        <v>111.3</v>
      </c>
      <c r="AB30">
        <v>107.3</v>
      </c>
      <c r="AC30">
        <v>109.4</v>
      </c>
      <c r="AD30">
        <v>114</v>
      </c>
    </row>
    <row r="31" spans="1:30">
      <c r="A31" t="s">
        <v>35</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t="s">
        <v>51</v>
      </c>
      <c r="V31">
        <v>110.9</v>
      </c>
      <c r="W31">
        <v>110.3</v>
      </c>
      <c r="X31">
        <v>108.6</v>
      </c>
      <c r="Y31">
        <v>109.5</v>
      </c>
      <c r="Z31">
        <v>108.1</v>
      </c>
      <c r="AA31">
        <v>110.8</v>
      </c>
      <c r="AB31">
        <v>107.4</v>
      </c>
      <c r="AC31">
        <v>109.2</v>
      </c>
      <c r="AD31">
        <v>114.8</v>
      </c>
    </row>
    <row r="32" spans="1:30">
      <c r="A32" t="s">
        <v>30</v>
      </c>
      <c r="B32">
        <v>2013</v>
      </c>
      <c r="C32" t="s">
        <v>52</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t="s">
        <v>33</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t="s">
        <v>54</v>
      </c>
      <c r="V33">
        <v>110</v>
      </c>
      <c r="W33">
        <v>110.9</v>
      </c>
      <c r="X33">
        <v>108.6</v>
      </c>
      <c r="Y33">
        <v>109.5</v>
      </c>
      <c r="Z33">
        <v>108.5</v>
      </c>
      <c r="AA33">
        <v>111.3</v>
      </c>
      <c r="AB33">
        <v>107.9</v>
      </c>
      <c r="AC33">
        <v>109.6</v>
      </c>
      <c r="AD33">
        <v>115</v>
      </c>
    </row>
    <row r="34" spans="1:30">
      <c r="A34" t="s">
        <v>35</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t="s">
        <v>54</v>
      </c>
      <c r="V34">
        <v>111.6</v>
      </c>
      <c r="W34">
        <v>111.1</v>
      </c>
      <c r="X34">
        <v>109.3</v>
      </c>
      <c r="Y34">
        <v>109.5</v>
      </c>
      <c r="Z34">
        <v>108.6</v>
      </c>
      <c r="AA34">
        <v>111.2</v>
      </c>
      <c r="AB34">
        <v>108.1</v>
      </c>
      <c r="AC34">
        <v>109.7</v>
      </c>
      <c r="AD34">
        <v>116.3</v>
      </c>
    </row>
    <row r="35" spans="1:30">
      <c r="A35" t="s">
        <v>30</v>
      </c>
      <c r="B35">
        <v>2013</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t="s">
        <v>33</v>
      </c>
      <c r="B36">
        <v>2013</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t="s">
        <v>56</v>
      </c>
      <c r="V36">
        <v>110.4</v>
      </c>
      <c r="W36">
        <v>111.3</v>
      </c>
      <c r="X36">
        <v>109</v>
      </c>
      <c r="Y36">
        <v>109.7</v>
      </c>
      <c r="Z36">
        <v>108.9</v>
      </c>
      <c r="AA36">
        <v>111.4</v>
      </c>
      <c r="AB36">
        <v>107.7</v>
      </c>
      <c r="AC36">
        <v>109.8</v>
      </c>
      <c r="AD36">
        <v>113.3</v>
      </c>
    </row>
    <row r="37" spans="1:30">
      <c r="A37" t="s">
        <v>35</v>
      </c>
      <c r="B37">
        <v>2013</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t="s">
        <v>56</v>
      </c>
      <c r="V37">
        <v>111.9</v>
      </c>
      <c r="W37">
        <v>111.7</v>
      </c>
      <c r="X37">
        <v>109.7</v>
      </c>
      <c r="Y37">
        <v>109.8</v>
      </c>
      <c r="Z37">
        <v>109</v>
      </c>
      <c r="AA37">
        <v>111.5</v>
      </c>
      <c r="AB37">
        <v>107.9</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t="s">
        <v>57</v>
      </c>
      <c r="V39">
        <v>111</v>
      </c>
      <c r="W39">
        <v>111.9</v>
      </c>
      <c r="X39">
        <v>109.7</v>
      </c>
      <c r="Y39">
        <v>110.8</v>
      </c>
      <c r="Z39">
        <v>109.8</v>
      </c>
      <c r="AA39">
        <v>111.5</v>
      </c>
      <c r="AB39">
        <v>108</v>
      </c>
      <c r="AC39">
        <v>110.5</v>
      </c>
      <c r="AD39">
        <v>112.9</v>
      </c>
    </row>
    <row r="40" spans="1:30">
      <c r="A40" t="s">
        <v>35</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t="s">
        <v>57</v>
      </c>
      <c r="V40">
        <v>112.2</v>
      </c>
      <c r="W40">
        <v>112.3</v>
      </c>
      <c r="X40">
        <v>110.3</v>
      </c>
      <c r="Y40">
        <v>110.7</v>
      </c>
      <c r="Z40">
        <v>109.7</v>
      </c>
      <c r="AA40">
        <v>111.6</v>
      </c>
      <c r="AB40">
        <v>108.2</v>
      </c>
      <c r="AC40">
        <v>110.6</v>
      </c>
      <c r="AD40">
        <v>113.6</v>
      </c>
    </row>
    <row r="41" spans="1:30">
      <c r="A41" t="s">
        <v>30</v>
      </c>
      <c r="B41">
        <v>2014</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t="s">
        <v>33</v>
      </c>
      <c r="B42">
        <v>2014</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t="s">
        <v>58</v>
      </c>
      <c r="V42">
        <v>111.1</v>
      </c>
      <c r="W42">
        <v>112.6</v>
      </c>
      <c r="X42">
        <v>110.4</v>
      </c>
      <c r="Y42">
        <v>111.3</v>
      </c>
      <c r="Z42">
        <v>110.3</v>
      </c>
      <c r="AA42">
        <v>111.6</v>
      </c>
      <c r="AB42">
        <v>108.7</v>
      </c>
      <c r="AC42">
        <v>111</v>
      </c>
      <c r="AD42">
        <v>113.1</v>
      </c>
    </row>
    <row r="43" spans="1:30">
      <c r="A43" t="s">
        <v>35</v>
      </c>
      <c r="B43">
        <v>2014</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t="s">
        <v>58</v>
      </c>
      <c r="V43">
        <v>112.4</v>
      </c>
      <c r="W43">
        <v>112.8</v>
      </c>
      <c r="X43">
        <v>110.7</v>
      </c>
      <c r="Y43">
        <v>111.1</v>
      </c>
      <c r="Z43">
        <v>110.1</v>
      </c>
      <c r="AA43">
        <v>111.8</v>
      </c>
      <c r="AB43">
        <v>108.7</v>
      </c>
      <c r="AC43">
        <v>110.9</v>
      </c>
      <c r="AD43">
        <v>113.6</v>
      </c>
    </row>
    <row r="44" spans="1:30">
      <c r="A44" t="s">
        <v>30</v>
      </c>
      <c r="B44">
        <v>2014</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t="s">
        <v>33</v>
      </c>
      <c r="B45">
        <v>2014</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t="s">
        <v>59</v>
      </c>
      <c r="V45">
        <v>110.9</v>
      </c>
      <c r="W45">
        <v>113</v>
      </c>
      <c r="X45">
        <v>110.8</v>
      </c>
      <c r="Y45">
        <v>111.6</v>
      </c>
      <c r="Z45">
        <v>110.9</v>
      </c>
      <c r="AA45">
        <v>111.8</v>
      </c>
      <c r="AB45">
        <v>109.2</v>
      </c>
      <c r="AC45">
        <v>111.4</v>
      </c>
      <c r="AD45">
        <v>113.7</v>
      </c>
    </row>
    <row r="46" spans="1:30">
      <c r="A46" t="s">
        <v>35</v>
      </c>
      <c r="B46">
        <v>2014</v>
      </c>
      <c r="C46" t="s">
        <v>60</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t="s">
        <v>59</v>
      </c>
      <c r="V46">
        <v>112.5</v>
      </c>
      <c r="W46">
        <v>113.2</v>
      </c>
      <c r="X46">
        <v>111.2</v>
      </c>
      <c r="Y46">
        <v>111.4</v>
      </c>
      <c r="Z46">
        <v>110.6</v>
      </c>
      <c r="AA46">
        <v>112</v>
      </c>
      <c r="AB46">
        <v>109</v>
      </c>
      <c r="AC46">
        <v>111.3</v>
      </c>
      <c r="AD46">
        <v>114.2</v>
      </c>
    </row>
    <row r="47" spans="1:30">
      <c r="A47" t="s">
        <v>30</v>
      </c>
      <c r="B47">
        <v>2014</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t="s">
        <v>33</v>
      </c>
      <c r="B48">
        <v>2014</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t="s">
        <v>61</v>
      </c>
      <c r="V48">
        <v>110.9</v>
      </c>
      <c r="W48">
        <v>113.4</v>
      </c>
      <c r="X48">
        <v>111</v>
      </c>
      <c r="Y48">
        <v>111.2</v>
      </c>
      <c r="Z48">
        <v>111.2</v>
      </c>
      <c r="AA48">
        <v>112.5</v>
      </c>
      <c r="AB48">
        <v>109.1</v>
      </c>
      <c r="AC48">
        <v>111.4</v>
      </c>
      <c r="AD48">
        <v>114.7</v>
      </c>
    </row>
    <row r="49" spans="1:30">
      <c r="A49" t="s">
        <v>35</v>
      </c>
      <c r="B49">
        <v>2014</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t="s">
        <v>61</v>
      </c>
      <c r="V49">
        <v>112.5</v>
      </c>
      <c r="W49">
        <v>113.6</v>
      </c>
      <c r="X49">
        <v>111.5</v>
      </c>
      <c r="Y49">
        <v>111.2</v>
      </c>
      <c r="Z49">
        <v>110.9</v>
      </c>
      <c r="AA49">
        <v>112.7</v>
      </c>
      <c r="AB49">
        <v>109</v>
      </c>
      <c r="AC49">
        <v>111.5</v>
      </c>
      <c r="AD49">
        <v>115.1</v>
      </c>
    </row>
    <row r="50" spans="1:30">
      <c r="A50" t="s">
        <v>30</v>
      </c>
      <c r="B50">
        <v>2014</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t="s">
        <v>33</v>
      </c>
      <c r="B51">
        <v>2014</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t="s">
        <v>62</v>
      </c>
      <c r="V51">
        <v>111.1</v>
      </c>
      <c r="W51">
        <v>114.1</v>
      </c>
      <c r="X51">
        <v>111.2</v>
      </c>
      <c r="Y51">
        <v>111.3</v>
      </c>
      <c r="Z51">
        <v>111.5</v>
      </c>
      <c r="AA51">
        <v>112.9</v>
      </c>
      <c r="AB51">
        <v>109.3</v>
      </c>
      <c r="AC51">
        <v>111.7</v>
      </c>
      <c r="AD51">
        <v>115.6</v>
      </c>
    </row>
    <row r="52" spans="1:30">
      <c r="A52" t="s">
        <v>35</v>
      </c>
      <c r="B52">
        <v>2014</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t="s">
        <v>62</v>
      </c>
      <c r="V52">
        <v>112.5</v>
      </c>
      <c r="W52">
        <v>114.1</v>
      </c>
      <c r="X52">
        <v>111.8</v>
      </c>
      <c r="Y52">
        <v>111.3</v>
      </c>
      <c r="Z52">
        <v>111.2</v>
      </c>
      <c r="AA52">
        <v>113</v>
      </c>
      <c r="AB52">
        <v>109.1</v>
      </c>
      <c r="AC52">
        <v>111.8</v>
      </c>
      <c r="AD52">
        <v>115.8</v>
      </c>
    </row>
    <row r="53" spans="1:30">
      <c r="A53" t="s">
        <v>30</v>
      </c>
      <c r="B53">
        <v>2014</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t="s">
        <v>33</v>
      </c>
      <c r="B54">
        <v>2014</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t="s">
        <v>61</v>
      </c>
      <c r="V54">
        <v>111.2</v>
      </c>
      <c r="W54">
        <v>114.3</v>
      </c>
      <c r="X54">
        <v>111.4</v>
      </c>
      <c r="Y54">
        <v>111.5</v>
      </c>
      <c r="Z54">
        <v>111.8</v>
      </c>
      <c r="AA54">
        <v>115.1</v>
      </c>
      <c r="AB54">
        <v>108.7</v>
      </c>
      <c r="AC54">
        <v>112.2</v>
      </c>
      <c r="AD54">
        <v>116.4</v>
      </c>
    </row>
    <row r="55" spans="1:30">
      <c r="A55" t="s">
        <v>35</v>
      </c>
      <c r="B55">
        <v>2014</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t="s">
        <v>61</v>
      </c>
      <c r="V55">
        <v>113.2</v>
      </c>
      <c r="W55">
        <v>114.6</v>
      </c>
      <c r="X55">
        <v>112.3</v>
      </c>
      <c r="Y55">
        <v>111.8</v>
      </c>
      <c r="Z55">
        <v>111.6</v>
      </c>
      <c r="AA55">
        <v>114.8</v>
      </c>
      <c r="AB55">
        <v>108.3</v>
      </c>
      <c r="AC55">
        <v>112.3</v>
      </c>
      <c r="AD55">
        <v>116.7</v>
      </c>
    </row>
    <row r="56" spans="1:30">
      <c r="A56" t="s">
        <v>30</v>
      </c>
      <c r="B56">
        <v>2014</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t="s">
        <v>33</v>
      </c>
      <c r="B57">
        <v>2014</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t="s">
        <v>63</v>
      </c>
      <c r="V57">
        <v>111.6</v>
      </c>
      <c r="W57">
        <v>114.9</v>
      </c>
      <c r="X57">
        <v>111.5</v>
      </c>
      <c r="Y57">
        <v>113</v>
      </c>
      <c r="Z57">
        <v>112.4</v>
      </c>
      <c r="AA57">
        <v>117.8</v>
      </c>
      <c r="AB57">
        <v>109.7</v>
      </c>
      <c r="AC57">
        <v>113.5</v>
      </c>
      <c r="AD57">
        <v>118.9</v>
      </c>
    </row>
    <row r="58" spans="1:30">
      <c r="A58" t="s">
        <v>35</v>
      </c>
      <c r="B58">
        <v>2014</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t="s">
        <v>63</v>
      </c>
      <c r="V58">
        <v>113.9</v>
      </c>
      <c r="W58">
        <v>115.2</v>
      </c>
      <c r="X58">
        <v>112.7</v>
      </c>
      <c r="Y58">
        <v>113.1</v>
      </c>
      <c r="Z58">
        <v>112.1</v>
      </c>
      <c r="AA58">
        <v>116.8</v>
      </c>
      <c r="AB58">
        <v>109.2</v>
      </c>
      <c r="AC58">
        <v>113.3</v>
      </c>
      <c r="AD58">
        <v>119.2</v>
      </c>
    </row>
    <row r="59" spans="1:30">
      <c r="A59" t="s">
        <v>30</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t="s">
        <v>33</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t="s">
        <v>64</v>
      </c>
      <c r="V60">
        <v>111.8</v>
      </c>
      <c r="W60">
        <v>115.3</v>
      </c>
      <c r="X60">
        <v>112.2</v>
      </c>
      <c r="Y60">
        <v>112.5</v>
      </c>
      <c r="Z60">
        <v>112.9</v>
      </c>
      <c r="AA60">
        <v>119.2</v>
      </c>
      <c r="AB60">
        <v>110.5</v>
      </c>
      <c r="AC60">
        <v>113.9</v>
      </c>
      <c r="AD60">
        <v>119.9</v>
      </c>
    </row>
    <row r="61" spans="1:30">
      <c r="A61" t="s">
        <v>35</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t="s">
        <v>64</v>
      </c>
      <c r="V61">
        <v>114</v>
      </c>
      <c r="W61">
        <v>115.6</v>
      </c>
      <c r="X61">
        <v>113.3</v>
      </c>
      <c r="Y61">
        <v>112.8</v>
      </c>
      <c r="Z61">
        <v>112.6</v>
      </c>
      <c r="AA61">
        <v>118</v>
      </c>
      <c r="AB61">
        <v>109.9</v>
      </c>
      <c r="AC61">
        <v>113.7</v>
      </c>
      <c r="AD61">
        <v>120.3</v>
      </c>
    </row>
    <row r="62" spans="1:30">
      <c r="A62" t="s">
        <v>30</v>
      </c>
      <c r="B62">
        <v>2014</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t="s">
        <v>33</v>
      </c>
      <c r="B63">
        <v>2014</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t="s">
        <v>65</v>
      </c>
      <c r="V63">
        <v>111.8</v>
      </c>
      <c r="W63">
        <v>115.5</v>
      </c>
      <c r="X63">
        <v>112.3</v>
      </c>
      <c r="Y63">
        <v>111.2</v>
      </c>
      <c r="Z63">
        <v>113.4</v>
      </c>
      <c r="AA63">
        <v>120</v>
      </c>
      <c r="AB63">
        <v>110</v>
      </c>
      <c r="AC63">
        <v>113.6</v>
      </c>
      <c r="AD63">
        <v>119.2</v>
      </c>
    </row>
    <row r="64" spans="1:30">
      <c r="A64" t="s">
        <v>35</v>
      </c>
      <c r="B64">
        <v>2014</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t="s">
        <v>65</v>
      </c>
      <c r="V64">
        <v>114.3</v>
      </c>
      <c r="W64">
        <v>116.1</v>
      </c>
      <c r="X64">
        <v>113.7</v>
      </c>
      <c r="Y64">
        <v>112</v>
      </c>
      <c r="Z64">
        <v>113.1</v>
      </c>
      <c r="AA64">
        <v>118.6</v>
      </c>
      <c r="AB64">
        <v>109.5</v>
      </c>
      <c r="AC64">
        <v>113.7</v>
      </c>
      <c r="AD64">
        <v>120.1</v>
      </c>
    </row>
    <row r="65" spans="1:30">
      <c r="A65" t="s">
        <v>30</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t="s">
        <v>33</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t="s">
        <v>66</v>
      </c>
      <c r="V66">
        <v>112</v>
      </c>
      <c r="W66">
        <v>115.8</v>
      </c>
      <c r="X66">
        <v>112.6</v>
      </c>
      <c r="Y66">
        <v>111</v>
      </c>
      <c r="Z66">
        <v>113.6</v>
      </c>
      <c r="AA66">
        <v>120.2</v>
      </c>
      <c r="AB66">
        <v>110.1</v>
      </c>
      <c r="AC66">
        <v>113.7</v>
      </c>
      <c r="AD66">
        <v>119.1</v>
      </c>
    </row>
    <row r="67" spans="1:30">
      <c r="A67" t="s">
        <v>35</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t="s">
        <v>66</v>
      </c>
      <c r="V67">
        <v>114.7</v>
      </c>
      <c r="W67">
        <v>116.7</v>
      </c>
      <c r="X67">
        <v>114.3</v>
      </c>
      <c r="Y67">
        <v>111.8</v>
      </c>
      <c r="Z67">
        <v>113.3</v>
      </c>
      <c r="AA67">
        <v>118.8</v>
      </c>
      <c r="AB67">
        <v>109.6</v>
      </c>
      <c r="AC67">
        <v>113.9</v>
      </c>
      <c r="AD67">
        <v>120.1</v>
      </c>
    </row>
    <row r="68" spans="1:30">
      <c r="A68" t="s">
        <v>30</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t="s">
        <v>33</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t="s">
        <v>67</v>
      </c>
      <c r="V69">
        <v>112.6</v>
      </c>
      <c r="W69">
        <v>116.4</v>
      </c>
      <c r="X69">
        <v>113</v>
      </c>
      <c r="Y69">
        <v>109.7</v>
      </c>
      <c r="Z69">
        <v>114</v>
      </c>
      <c r="AA69">
        <v>120.3</v>
      </c>
      <c r="AB69">
        <v>109.6</v>
      </c>
      <c r="AC69">
        <v>113.4</v>
      </c>
      <c r="AD69">
        <v>119</v>
      </c>
    </row>
    <row r="70" spans="1:30">
      <c r="A70" t="s">
        <v>35</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t="s">
        <v>67</v>
      </c>
      <c r="V70">
        <v>115.5</v>
      </c>
      <c r="W70">
        <v>117.3</v>
      </c>
      <c r="X70">
        <v>114.8</v>
      </c>
      <c r="Y70">
        <v>110.8</v>
      </c>
      <c r="Z70">
        <v>113.7</v>
      </c>
      <c r="AA70">
        <v>119</v>
      </c>
      <c r="AB70">
        <v>109.1</v>
      </c>
      <c r="AC70">
        <v>113.8</v>
      </c>
      <c r="AD70">
        <v>120.1</v>
      </c>
    </row>
    <row r="71" spans="1:30">
      <c r="A71" t="s">
        <v>30</v>
      </c>
      <c r="B71">
        <v>2014</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t="s">
        <v>33</v>
      </c>
      <c r="B72">
        <v>2014</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t="s">
        <v>68</v>
      </c>
      <c r="V72">
        <v>113</v>
      </c>
      <c r="W72">
        <v>116.8</v>
      </c>
      <c r="X72">
        <v>113.2</v>
      </c>
      <c r="Y72">
        <v>108.8</v>
      </c>
      <c r="Z72">
        <v>114.3</v>
      </c>
      <c r="AA72">
        <v>120.7</v>
      </c>
      <c r="AB72">
        <v>110.4</v>
      </c>
      <c r="AC72">
        <v>113.4</v>
      </c>
      <c r="AD72">
        <v>118.4</v>
      </c>
    </row>
    <row r="73" spans="1:30">
      <c r="A73" t="s">
        <v>35</v>
      </c>
      <c r="B73">
        <v>2014</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t="s">
        <v>68</v>
      </c>
      <c r="V73">
        <v>115.7</v>
      </c>
      <c r="W73">
        <v>117.5</v>
      </c>
      <c r="X73">
        <v>115.1</v>
      </c>
      <c r="Y73">
        <v>110.1</v>
      </c>
      <c r="Z73">
        <v>113.9</v>
      </c>
      <c r="AA73">
        <v>119.5</v>
      </c>
      <c r="AB73">
        <v>109.8</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t="s">
        <v>69</v>
      </c>
      <c r="V75">
        <v>113.4</v>
      </c>
      <c r="W75">
        <v>117.2</v>
      </c>
      <c r="X75">
        <v>113.7</v>
      </c>
      <c r="Y75">
        <v>107.9</v>
      </c>
      <c r="Z75">
        <v>114.6</v>
      </c>
      <c r="AA75">
        <v>120.8</v>
      </c>
      <c r="AB75">
        <v>111.4</v>
      </c>
      <c r="AC75">
        <v>113.4</v>
      </c>
      <c r="AD75">
        <v>118.5</v>
      </c>
    </row>
    <row r="76" spans="1:30">
      <c r="A76" t="s">
        <v>35</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t="s">
        <v>69</v>
      </c>
      <c r="V76">
        <v>116.5</v>
      </c>
      <c r="W76">
        <v>118.1</v>
      </c>
      <c r="X76">
        <v>115.5</v>
      </c>
      <c r="Y76">
        <v>109.4</v>
      </c>
      <c r="Z76">
        <v>114.3</v>
      </c>
      <c r="AA76">
        <v>119.7</v>
      </c>
      <c r="AB76">
        <v>110.7</v>
      </c>
      <c r="AC76">
        <v>114</v>
      </c>
      <c r="AD76">
        <v>119.5</v>
      </c>
    </row>
    <row r="77" spans="1:30">
      <c r="A77" t="s">
        <v>30</v>
      </c>
      <c r="B77">
        <v>2015</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t="s">
        <v>33</v>
      </c>
      <c r="B78">
        <v>2015</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t="s">
        <v>70</v>
      </c>
      <c r="V78">
        <v>114</v>
      </c>
      <c r="W78">
        <v>117.7</v>
      </c>
      <c r="X78">
        <v>114.1</v>
      </c>
      <c r="Y78">
        <v>106.8</v>
      </c>
      <c r="Z78">
        <v>114.9</v>
      </c>
      <c r="AA78">
        <v>120.4</v>
      </c>
      <c r="AB78">
        <v>111.7</v>
      </c>
      <c r="AC78">
        <v>113.2</v>
      </c>
      <c r="AD78">
        <v>118.7</v>
      </c>
    </row>
    <row r="79" spans="1:30">
      <c r="A79" t="s">
        <v>35</v>
      </c>
      <c r="B79">
        <v>2015</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t="s">
        <v>70</v>
      </c>
      <c r="V79">
        <v>117.7</v>
      </c>
      <c r="W79">
        <v>118.7</v>
      </c>
      <c r="X79">
        <v>116.3</v>
      </c>
      <c r="Y79">
        <v>108.7</v>
      </c>
      <c r="Z79">
        <v>114.9</v>
      </c>
      <c r="AA79">
        <v>119.7</v>
      </c>
      <c r="AB79">
        <v>111.2</v>
      </c>
      <c r="AC79">
        <v>114.1</v>
      </c>
      <c r="AD79">
        <v>119.7</v>
      </c>
    </row>
    <row r="80" spans="1:30">
      <c r="A80" t="s">
        <v>30</v>
      </c>
      <c r="B80">
        <v>2015</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t="s">
        <v>33</v>
      </c>
      <c r="B81">
        <v>2015</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t="s">
        <v>71</v>
      </c>
      <c r="V81">
        <v>114.4</v>
      </c>
      <c r="W81">
        <v>118</v>
      </c>
      <c r="X81">
        <v>114.3</v>
      </c>
      <c r="Y81">
        <v>108.4</v>
      </c>
      <c r="Z81">
        <v>115.4</v>
      </c>
      <c r="AA81">
        <v>120.6</v>
      </c>
      <c r="AB81">
        <v>111.3</v>
      </c>
      <c r="AC81">
        <v>113.8</v>
      </c>
      <c r="AD81">
        <v>119.1</v>
      </c>
    </row>
    <row r="82" spans="1:30">
      <c r="A82" t="s">
        <v>35</v>
      </c>
      <c r="B82">
        <v>2015</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t="s">
        <v>71</v>
      </c>
      <c r="V82">
        <v>118.3</v>
      </c>
      <c r="W82">
        <v>119.2</v>
      </c>
      <c r="X82">
        <v>116.7</v>
      </c>
      <c r="Y82">
        <v>109.9</v>
      </c>
      <c r="Z82">
        <v>115.4</v>
      </c>
      <c r="AA82">
        <v>120.1</v>
      </c>
      <c r="AB82">
        <v>111</v>
      </c>
      <c r="AC82">
        <v>114.7</v>
      </c>
      <c r="AD82">
        <v>120.2</v>
      </c>
    </row>
    <row r="83" spans="1:30">
      <c r="A83" t="s">
        <v>30</v>
      </c>
      <c r="B83">
        <v>2015</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t="s">
        <v>33</v>
      </c>
      <c r="B84">
        <v>2015</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t="s">
        <v>72</v>
      </c>
      <c r="V84">
        <v>114.7</v>
      </c>
      <c r="W84">
        <v>118.4</v>
      </c>
      <c r="X84">
        <v>114.6</v>
      </c>
      <c r="Y84">
        <v>108.4</v>
      </c>
      <c r="Z84">
        <v>115.6</v>
      </c>
      <c r="AA84">
        <v>121.7</v>
      </c>
      <c r="AB84">
        <v>111.8</v>
      </c>
      <c r="AC84">
        <v>114.2</v>
      </c>
      <c r="AD84">
        <v>119.7</v>
      </c>
    </row>
    <row r="85" spans="1:30">
      <c r="A85" t="s">
        <v>35</v>
      </c>
      <c r="B85">
        <v>2015</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t="s">
        <v>72</v>
      </c>
      <c r="V85">
        <v>118.7</v>
      </c>
      <c r="W85">
        <v>119.7</v>
      </c>
      <c r="X85">
        <v>117.1</v>
      </c>
      <c r="Y85">
        <v>110.1</v>
      </c>
      <c r="Z85">
        <v>115.9</v>
      </c>
      <c r="AA85">
        <v>121</v>
      </c>
      <c r="AB85">
        <v>111.7</v>
      </c>
      <c r="AC85">
        <v>115.1</v>
      </c>
      <c r="AD85">
        <v>120.7</v>
      </c>
    </row>
    <row r="86" spans="1:30">
      <c r="A86" t="s">
        <v>30</v>
      </c>
      <c r="B86">
        <v>2015</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t="s">
        <v>33</v>
      </c>
      <c r="B87">
        <v>2015</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t="s">
        <v>73</v>
      </c>
      <c r="V87">
        <v>114.9</v>
      </c>
      <c r="W87">
        <v>118.7</v>
      </c>
      <c r="X87">
        <v>114.9</v>
      </c>
      <c r="Y87">
        <v>110.8</v>
      </c>
      <c r="Z87">
        <v>116</v>
      </c>
      <c r="AA87">
        <v>122</v>
      </c>
      <c r="AB87">
        <v>112.4</v>
      </c>
      <c r="AC87">
        <v>115.2</v>
      </c>
      <c r="AD87">
        <v>120.7</v>
      </c>
    </row>
    <row r="88" spans="1:30">
      <c r="A88" t="s">
        <v>35</v>
      </c>
      <c r="B88">
        <v>2015</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t="s">
        <v>73</v>
      </c>
      <c r="V88">
        <v>119.2</v>
      </c>
      <c r="W88">
        <v>120.2</v>
      </c>
      <c r="X88">
        <v>117.7</v>
      </c>
      <c r="Y88">
        <v>112</v>
      </c>
      <c r="Z88">
        <v>116.3</v>
      </c>
      <c r="AA88">
        <v>121.4</v>
      </c>
      <c r="AB88">
        <v>112.3</v>
      </c>
      <c r="AC88">
        <v>116.1</v>
      </c>
      <c r="AD88">
        <v>121.6</v>
      </c>
    </row>
    <row r="89" spans="1:30">
      <c r="A89" t="s">
        <v>30</v>
      </c>
      <c r="B89">
        <v>2015</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t="s">
        <v>33</v>
      </c>
      <c r="B90">
        <v>2015</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t="s">
        <v>74</v>
      </c>
      <c r="V90">
        <v>115.1</v>
      </c>
      <c r="W90">
        <v>119.2</v>
      </c>
      <c r="X90">
        <v>115.4</v>
      </c>
      <c r="Y90">
        <v>111.7</v>
      </c>
      <c r="Z90">
        <v>116.2</v>
      </c>
      <c r="AA90">
        <v>123.8</v>
      </c>
      <c r="AB90">
        <v>112.5</v>
      </c>
      <c r="AC90">
        <v>116</v>
      </c>
      <c r="AD90">
        <v>121.7</v>
      </c>
    </row>
    <row r="91" spans="1:30">
      <c r="A91" t="s">
        <v>35</v>
      </c>
      <c r="B91">
        <v>2015</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t="s">
        <v>74</v>
      </c>
      <c r="V91">
        <v>119.8</v>
      </c>
      <c r="W91">
        <v>121.1</v>
      </c>
      <c r="X91">
        <v>118.5</v>
      </c>
      <c r="Y91">
        <v>112.9</v>
      </c>
      <c r="Z91">
        <v>116.9</v>
      </c>
      <c r="AA91">
        <v>123.1</v>
      </c>
      <c r="AB91">
        <v>112.8</v>
      </c>
      <c r="AC91">
        <v>117</v>
      </c>
      <c r="AD91">
        <v>123</v>
      </c>
    </row>
    <row r="92" spans="1:30">
      <c r="A92" t="s">
        <v>30</v>
      </c>
      <c r="B92">
        <v>2015</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t="s">
        <v>33</v>
      </c>
      <c r="B93">
        <v>2015</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t="s">
        <v>75</v>
      </c>
      <c r="V93">
        <v>115.3</v>
      </c>
      <c r="W93">
        <v>119.5</v>
      </c>
      <c r="X93">
        <v>116</v>
      </c>
      <c r="Y93">
        <v>111.5</v>
      </c>
      <c r="Z93">
        <v>116.6</v>
      </c>
      <c r="AA93">
        <v>125.4</v>
      </c>
      <c r="AB93">
        <v>111.7</v>
      </c>
      <c r="AC93">
        <v>116.3</v>
      </c>
      <c r="AD93">
        <v>122.4</v>
      </c>
    </row>
    <row r="94" spans="1:30">
      <c r="A94" t="s">
        <v>35</v>
      </c>
      <c r="B94">
        <v>2015</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t="s">
        <v>75</v>
      </c>
      <c r="V94">
        <v>120.1</v>
      </c>
      <c r="W94">
        <v>121.3</v>
      </c>
      <c r="X94">
        <v>119</v>
      </c>
      <c r="Y94">
        <v>112.7</v>
      </c>
      <c r="Z94">
        <v>117.2</v>
      </c>
      <c r="AA94">
        <v>124.4</v>
      </c>
      <c r="AB94">
        <v>112.3</v>
      </c>
      <c r="AC94">
        <v>117.2</v>
      </c>
      <c r="AD94">
        <v>123.6</v>
      </c>
    </row>
    <row r="95" spans="1:30">
      <c r="A95" t="s">
        <v>30</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t="s">
        <v>33</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t="s">
        <v>76</v>
      </c>
      <c r="V96">
        <v>115.3</v>
      </c>
      <c r="W96">
        <v>120</v>
      </c>
      <c r="X96">
        <v>116.6</v>
      </c>
      <c r="Y96">
        <v>109.9</v>
      </c>
      <c r="Z96">
        <v>117.2</v>
      </c>
      <c r="AA96">
        <v>126.2</v>
      </c>
      <c r="AB96">
        <v>112</v>
      </c>
      <c r="AC96">
        <v>116.2</v>
      </c>
      <c r="AD96">
        <v>123.2</v>
      </c>
    </row>
    <row r="97" spans="1:30">
      <c r="A97" t="s">
        <v>35</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t="s">
        <v>76</v>
      </c>
      <c r="V97">
        <v>120.6</v>
      </c>
      <c r="W97">
        <v>122</v>
      </c>
      <c r="X97">
        <v>119.4</v>
      </c>
      <c r="Y97">
        <v>111.7</v>
      </c>
      <c r="Z97">
        <v>117.8</v>
      </c>
      <c r="AA97">
        <v>125.1</v>
      </c>
      <c r="AB97">
        <v>112.3</v>
      </c>
      <c r="AC97">
        <v>117.2</v>
      </c>
      <c r="AD97">
        <v>124.8</v>
      </c>
    </row>
    <row r="98" spans="1:30">
      <c r="A98" t="s">
        <v>30</v>
      </c>
      <c r="B98">
        <v>2015</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t="s">
        <v>33</v>
      </c>
      <c r="B99">
        <v>2015</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t="s">
        <v>77</v>
      </c>
      <c r="V99">
        <v>115.1</v>
      </c>
      <c r="W99">
        <v>120.4</v>
      </c>
      <c r="X99">
        <v>117.1</v>
      </c>
      <c r="Y99">
        <v>109.1</v>
      </c>
      <c r="Z99">
        <v>117.3</v>
      </c>
      <c r="AA99">
        <v>126.5</v>
      </c>
      <c r="AB99">
        <v>112.9</v>
      </c>
      <c r="AC99">
        <v>116.2</v>
      </c>
      <c r="AD99">
        <v>123.5</v>
      </c>
    </row>
    <row r="100" spans="1:30">
      <c r="A100" t="s">
        <v>35</v>
      </c>
      <c r="B100">
        <v>2015</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t="s">
        <v>77</v>
      </c>
      <c r="V100">
        <v>120.4</v>
      </c>
      <c r="W100">
        <v>122.6</v>
      </c>
      <c r="X100">
        <v>119.8</v>
      </c>
      <c r="Y100">
        <v>111.3</v>
      </c>
      <c r="Z100">
        <v>118.3</v>
      </c>
      <c r="AA100">
        <v>125.7</v>
      </c>
      <c r="AB100">
        <v>113.4</v>
      </c>
      <c r="AC100">
        <v>117.5</v>
      </c>
      <c r="AD100">
        <v>125.4</v>
      </c>
    </row>
    <row r="101" spans="1:30">
      <c r="A101" t="s">
        <v>30</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t="s">
        <v>33</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t="s">
        <v>78</v>
      </c>
      <c r="V102">
        <v>114.9</v>
      </c>
      <c r="W102">
        <v>120.7</v>
      </c>
      <c r="X102">
        <v>117.7</v>
      </c>
      <c r="Y102">
        <v>109.3</v>
      </c>
      <c r="Z102">
        <v>117.7</v>
      </c>
      <c r="AA102">
        <v>126.5</v>
      </c>
      <c r="AB102">
        <v>113.5</v>
      </c>
      <c r="AC102">
        <v>116.5</v>
      </c>
      <c r="AD102">
        <v>124.2</v>
      </c>
    </row>
    <row r="103" spans="1:30">
      <c r="A103" t="s">
        <v>35</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t="s">
        <v>78</v>
      </c>
      <c r="V103">
        <v>120.8</v>
      </c>
      <c r="W103">
        <v>123</v>
      </c>
      <c r="X103">
        <v>120.4</v>
      </c>
      <c r="Y103">
        <v>111.4</v>
      </c>
      <c r="Z103">
        <v>118.7</v>
      </c>
      <c r="AA103">
        <v>125.9</v>
      </c>
      <c r="AB103">
        <v>113.9</v>
      </c>
      <c r="AC103">
        <v>117.9</v>
      </c>
      <c r="AD103">
        <v>126.1</v>
      </c>
    </row>
    <row r="104" spans="1:30">
      <c r="A104" t="s">
        <v>30</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t="s">
        <v>33</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t="s">
        <v>79</v>
      </c>
      <c r="V105">
        <v>115.1</v>
      </c>
      <c r="W105">
        <v>121</v>
      </c>
      <c r="X105">
        <v>118.1</v>
      </c>
      <c r="Y105">
        <v>109.3</v>
      </c>
      <c r="Z105">
        <v>117.9</v>
      </c>
      <c r="AA105">
        <v>126.6</v>
      </c>
      <c r="AB105">
        <v>113.3</v>
      </c>
      <c r="AC105">
        <v>116.6</v>
      </c>
      <c r="AD105">
        <v>124.6</v>
      </c>
    </row>
    <row r="106" spans="1:30">
      <c r="A106" t="s">
        <v>35</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t="s">
        <v>79</v>
      </c>
      <c r="V106">
        <v>121.6</v>
      </c>
      <c r="W106">
        <v>123.4</v>
      </c>
      <c r="X106">
        <v>120.9</v>
      </c>
      <c r="Y106">
        <v>111.5</v>
      </c>
      <c r="Z106">
        <v>119.2</v>
      </c>
      <c r="AA106">
        <v>126.3</v>
      </c>
      <c r="AB106">
        <v>113.8</v>
      </c>
      <c r="AC106">
        <v>118.1</v>
      </c>
      <c r="AD106">
        <v>126.6</v>
      </c>
    </row>
    <row r="107" spans="1:30">
      <c r="A107" t="s">
        <v>30</v>
      </c>
      <c r="B107">
        <v>2015</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t="s">
        <v>33</v>
      </c>
      <c r="B108">
        <v>2015</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t="s">
        <v>78</v>
      </c>
      <c r="V108">
        <v>116</v>
      </c>
      <c r="W108">
        <v>121</v>
      </c>
      <c r="X108">
        <v>118.6</v>
      </c>
      <c r="Y108">
        <v>109.3</v>
      </c>
      <c r="Z108">
        <v>118.1</v>
      </c>
      <c r="AA108">
        <v>126.6</v>
      </c>
      <c r="AB108">
        <v>113.2</v>
      </c>
      <c r="AC108">
        <v>116.7</v>
      </c>
      <c r="AD108">
        <v>124</v>
      </c>
    </row>
    <row r="109" spans="1:30">
      <c r="A109" t="s">
        <v>35</v>
      </c>
      <c r="B109">
        <v>2015</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t="s">
        <v>78</v>
      </c>
      <c r="V109">
        <v>122</v>
      </c>
      <c r="W109">
        <v>123.6</v>
      </c>
      <c r="X109">
        <v>121.4</v>
      </c>
      <c r="Y109">
        <v>111.5</v>
      </c>
      <c r="Z109">
        <v>119.6</v>
      </c>
      <c r="AA109">
        <v>126.2</v>
      </c>
      <c r="AB109">
        <v>113.7</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t="s">
        <v>80</v>
      </c>
      <c r="V111">
        <v>116.9</v>
      </c>
      <c r="W111">
        <v>121.6</v>
      </c>
      <c r="X111">
        <v>119.1</v>
      </c>
      <c r="Y111">
        <v>108.9</v>
      </c>
      <c r="Z111">
        <v>118.5</v>
      </c>
      <c r="AA111">
        <v>126.4</v>
      </c>
      <c r="AB111">
        <v>114</v>
      </c>
      <c r="AC111">
        <v>116.8</v>
      </c>
      <c r="AD111">
        <v>124.2</v>
      </c>
    </row>
    <row r="112" spans="1:30">
      <c r="A112" t="s">
        <v>35</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t="s">
        <v>80</v>
      </c>
      <c r="V112">
        <v>122.7</v>
      </c>
      <c r="W112">
        <v>124.2</v>
      </c>
      <c r="X112">
        <v>122</v>
      </c>
      <c r="Y112">
        <v>111.1</v>
      </c>
      <c r="Z112">
        <v>119.8</v>
      </c>
      <c r="AA112">
        <v>126.3</v>
      </c>
      <c r="AB112">
        <v>114.5</v>
      </c>
      <c r="AC112">
        <v>118.5</v>
      </c>
      <c r="AD112">
        <v>126.3</v>
      </c>
    </row>
    <row r="113" spans="1:30">
      <c r="A113" t="s">
        <v>30</v>
      </c>
      <c r="B113">
        <v>2016</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t="s">
        <v>33</v>
      </c>
      <c r="B114">
        <v>2016</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t="s">
        <v>81</v>
      </c>
      <c r="V114">
        <v>116</v>
      </c>
      <c r="W114">
        <v>121.8</v>
      </c>
      <c r="X114">
        <v>119.5</v>
      </c>
      <c r="Y114">
        <v>109.1</v>
      </c>
      <c r="Z114">
        <v>118.8</v>
      </c>
      <c r="AA114">
        <v>126.3</v>
      </c>
      <c r="AB114">
        <v>116.2</v>
      </c>
      <c r="AC114">
        <v>117.2</v>
      </c>
      <c r="AD114">
        <v>123.8</v>
      </c>
    </row>
    <row r="115" spans="1:30">
      <c r="A115" t="s">
        <v>35</v>
      </c>
      <c r="B115">
        <v>2016</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t="s">
        <v>81</v>
      </c>
      <c r="V115">
        <v>123.1</v>
      </c>
      <c r="W115">
        <v>124.6</v>
      </c>
      <c r="X115">
        <v>122.5</v>
      </c>
      <c r="Y115">
        <v>111.4</v>
      </c>
      <c r="Z115">
        <v>120.3</v>
      </c>
      <c r="AA115">
        <v>126.6</v>
      </c>
      <c r="AB115">
        <v>116.6</v>
      </c>
      <c r="AC115">
        <v>119.1</v>
      </c>
      <c r="AD115">
        <v>126</v>
      </c>
    </row>
    <row r="116" spans="1:30">
      <c r="A116" t="s">
        <v>30</v>
      </c>
      <c r="B116">
        <v>2016</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t="s">
        <v>33</v>
      </c>
      <c r="B117">
        <v>2016</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t="s">
        <v>82</v>
      </c>
      <c r="V117">
        <v>114.8</v>
      </c>
      <c r="W117">
        <v>122.3</v>
      </c>
      <c r="X117">
        <v>119.7</v>
      </c>
      <c r="Y117">
        <v>108.5</v>
      </c>
      <c r="Z117">
        <v>119.1</v>
      </c>
      <c r="AA117">
        <v>126.4</v>
      </c>
      <c r="AB117">
        <v>117.1</v>
      </c>
      <c r="AC117">
        <v>117.3</v>
      </c>
      <c r="AD117">
        <v>123.8</v>
      </c>
    </row>
    <row r="118" spans="1:30">
      <c r="A118" t="s">
        <v>35</v>
      </c>
      <c r="B118">
        <v>2016</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t="s">
        <v>82</v>
      </c>
      <c r="V118">
        <v>122.4</v>
      </c>
      <c r="W118">
        <v>125.1</v>
      </c>
      <c r="X118">
        <v>122.9</v>
      </c>
      <c r="Y118">
        <v>110.9</v>
      </c>
      <c r="Z118">
        <v>120.6</v>
      </c>
      <c r="AA118">
        <v>126.9</v>
      </c>
      <c r="AB118">
        <v>117.3</v>
      </c>
      <c r="AC118">
        <v>119.3</v>
      </c>
      <c r="AD118">
        <v>126</v>
      </c>
    </row>
    <row r="119" spans="1:30">
      <c r="A119" t="s">
        <v>30</v>
      </c>
      <c r="B119">
        <v>2016</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t="s">
        <v>33</v>
      </c>
      <c r="B120">
        <v>2016</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t="s">
        <v>83</v>
      </c>
      <c r="V120">
        <v>114.6</v>
      </c>
      <c r="W120">
        <v>122.8</v>
      </c>
      <c r="X120">
        <v>120</v>
      </c>
      <c r="Y120">
        <v>110</v>
      </c>
      <c r="Z120">
        <v>119.5</v>
      </c>
      <c r="AA120">
        <v>127.6</v>
      </c>
      <c r="AB120">
        <v>117.6</v>
      </c>
      <c r="AC120">
        <v>118.2</v>
      </c>
      <c r="AD120">
        <v>125.3</v>
      </c>
    </row>
    <row r="121" spans="1:30">
      <c r="A121" t="s">
        <v>35</v>
      </c>
      <c r="B121">
        <v>2016</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t="s">
        <v>83</v>
      </c>
      <c r="V121">
        <v>122.3</v>
      </c>
      <c r="W121">
        <v>125.5</v>
      </c>
      <c r="X121">
        <v>123.2</v>
      </c>
      <c r="Y121">
        <v>112.1</v>
      </c>
      <c r="Z121">
        <v>121.1</v>
      </c>
      <c r="AA121">
        <v>127.7</v>
      </c>
      <c r="AB121">
        <v>118.1</v>
      </c>
      <c r="AC121">
        <v>120</v>
      </c>
      <c r="AD121">
        <v>127.3</v>
      </c>
    </row>
    <row r="122" spans="1:30">
      <c r="A122" t="s">
        <v>30</v>
      </c>
      <c r="B122">
        <v>2016</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t="s">
        <v>33</v>
      </c>
      <c r="B123">
        <v>2016</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t="s">
        <v>84</v>
      </c>
      <c r="V123">
        <v>115</v>
      </c>
      <c r="W123">
        <v>123.2</v>
      </c>
      <c r="X123">
        <v>120.3</v>
      </c>
      <c r="Y123">
        <v>110.7</v>
      </c>
      <c r="Z123">
        <v>119.8</v>
      </c>
      <c r="AA123">
        <v>128</v>
      </c>
      <c r="AB123">
        <v>118.5</v>
      </c>
      <c r="AC123">
        <v>118.7</v>
      </c>
      <c r="AD123">
        <v>126.6</v>
      </c>
    </row>
    <row r="124" spans="1:30">
      <c r="A124" t="s">
        <v>35</v>
      </c>
      <c r="B124">
        <v>2016</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t="s">
        <v>84</v>
      </c>
      <c r="V124">
        <v>122.7</v>
      </c>
      <c r="W124">
        <v>126</v>
      </c>
      <c r="X124">
        <v>123.7</v>
      </c>
      <c r="Y124">
        <v>112.8</v>
      </c>
      <c r="Z124">
        <v>121.5</v>
      </c>
      <c r="AA124">
        <v>128.5</v>
      </c>
      <c r="AB124">
        <v>119.2</v>
      </c>
      <c r="AC124">
        <v>120.7</v>
      </c>
      <c r="AD124">
        <v>128.6</v>
      </c>
    </row>
    <row r="125" spans="1:30">
      <c r="A125" t="s">
        <v>30</v>
      </c>
      <c r="B125">
        <v>2016</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t="s">
        <v>33</v>
      </c>
      <c r="B126">
        <v>2016</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t="s">
        <v>85</v>
      </c>
      <c r="V126">
        <v>115.5</v>
      </c>
      <c r="W126">
        <v>123.2</v>
      </c>
      <c r="X126">
        <v>120.6</v>
      </c>
      <c r="Y126">
        <v>112.3</v>
      </c>
      <c r="Z126">
        <v>119.9</v>
      </c>
      <c r="AA126">
        <v>129.30000000000001</v>
      </c>
      <c r="AB126">
        <v>118.8</v>
      </c>
      <c r="AC126">
        <v>119.6</v>
      </c>
      <c r="AD126">
        <v>128.1</v>
      </c>
    </row>
    <row r="127" spans="1:30">
      <c r="A127" t="s">
        <v>35</v>
      </c>
      <c r="B127">
        <v>2016</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t="s">
        <v>85</v>
      </c>
      <c r="V127">
        <v>123.3</v>
      </c>
      <c r="W127">
        <v>126.4</v>
      </c>
      <c r="X127">
        <v>124.1</v>
      </c>
      <c r="Y127">
        <v>114.2</v>
      </c>
      <c r="Z127">
        <v>121.7</v>
      </c>
      <c r="AA127">
        <v>129.69999999999999</v>
      </c>
      <c r="AB127">
        <v>119.4</v>
      </c>
      <c r="AC127">
        <v>121.5</v>
      </c>
      <c r="AD127">
        <v>130.1</v>
      </c>
    </row>
    <row r="128" spans="1:30">
      <c r="A128" t="s">
        <v>30</v>
      </c>
      <c r="B128">
        <v>2016</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t="s">
        <v>33</v>
      </c>
      <c r="B129">
        <v>2016</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t="s">
        <v>86</v>
      </c>
      <c r="V129">
        <v>115.5</v>
      </c>
      <c r="W129">
        <v>123.5</v>
      </c>
      <c r="X129">
        <v>120.9</v>
      </c>
      <c r="Y129">
        <v>111.7</v>
      </c>
      <c r="Z129">
        <v>120.3</v>
      </c>
      <c r="AA129">
        <v>130.80000000000001</v>
      </c>
      <c r="AB129">
        <v>120</v>
      </c>
      <c r="AC129">
        <v>119.9</v>
      </c>
      <c r="AD129">
        <v>129</v>
      </c>
    </row>
    <row r="130" spans="1:30">
      <c r="A130" t="s">
        <v>35</v>
      </c>
      <c r="B130">
        <v>2016</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t="s">
        <v>86</v>
      </c>
      <c r="V130">
        <v>123.4</v>
      </c>
      <c r="W130">
        <v>126.9</v>
      </c>
      <c r="X130">
        <v>124.5</v>
      </c>
      <c r="Y130">
        <v>113.9</v>
      </c>
      <c r="Z130">
        <v>122.4</v>
      </c>
      <c r="AA130">
        <v>130.80000000000001</v>
      </c>
      <c r="AB130">
        <v>120.5</v>
      </c>
      <c r="AC130">
        <v>121.9</v>
      </c>
      <c r="AD130">
        <v>131.1</v>
      </c>
    </row>
    <row r="131" spans="1:30">
      <c r="A131" t="s">
        <v>30</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t="s">
        <v>33</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t="s">
        <v>87</v>
      </c>
      <c r="V132">
        <v>114.7</v>
      </c>
      <c r="W132">
        <v>123.9</v>
      </c>
      <c r="X132">
        <v>121.2</v>
      </c>
      <c r="Y132">
        <v>110.4</v>
      </c>
      <c r="Z132">
        <v>120.6</v>
      </c>
      <c r="AA132">
        <v>131.5</v>
      </c>
      <c r="AB132">
        <v>120.9</v>
      </c>
      <c r="AC132">
        <v>119.9</v>
      </c>
      <c r="AD132">
        <v>128.4</v>
      </c>
    </row>
    <row r="133" spans="1:30">
      <c r="A133" t="s">
        <v>35</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t="s">
        <v>87</v>
      </c>
      <c r="V133">
        <v>123.6</v>
      </c>
      <c r="W133">
        <v>127.4</v>
      </c>
      <c r="X133">
        <v>124.8</v>
      </c>
      <c r="Y133">
        <v>113.1</v>
      </c>
      <c r="Z133">
        <v>122.7</v>
      </c>
      <c r="AA133">
        <v>131.69999999999999</v>
      </c>
      <c r="AB133">
        <v>121.5</v>
      </c>
      <c r="AC133">
        <v>122.1</v>
      </c>
      <c r="AD133">
        <v>131.1</v>
      </c>
    </row>
    <row r="134" spans="1:30">
      <c r="A134" t="s">
        <v>30</v>
      </c>
      <c r="B134">
        <v>2016</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t="s">
        <v>33</v>
      </c>
      <c r="B135">
        <v>2016</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t="s">
        <v>88</v>
      </c>
      <c r="V135">
        <v>114.8</v>
      </c>
      <c r="W135">
        <v>124.3</v>
      </c>
      <c r="X135">
        <v>121.4</v>
      </c>
      <c r="Y135">
        <v>111.8</v>
      </c>
      <c r="Z135">
        <v>120.8</v>
      </c>
      <c r="AA135">
        <v>131.6</v>
      </c>
      <c r="AB135">
        <v>121.2</v>
      </c>
      <c r="AC135">
        <v>120.5</v>
      </c>
      <c r="AD135">
        <v>128</v>
      </c>
    </row>
    <row r="136" spans="1:30">
      <c r="A136" t="s">
        <v>35</v>
      </c>
      <c r="B136">
        <v>2016</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t="s">
        <v>88</v>
      </c>
      <c r="V136">
        <v>124.1</v>
      </c>
      <c r="W136">
        <v>127.9</v>
      </c>
      <c r="X136">
        <v>125.4</v>
      </c>
      <c r="Y136">
        <v>114.3</v>
      </c>
      <c r="Z136">
        <v>122.9</v>
      </c>
      <c r="AA136">
        <v>131.80000000000001</v>
      </c>
      <c r="AB136">
        <v>122.1</v>
      </c>
      <c r="AC136">
        <v>122.8</v>
      </c>
      <c r="AD136">
        <v>130.9</v>
      </c>
    </row>
    <row r="137" spans="1:30">
      <c r="A137" t="s">
        <v>30</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t="s">
        <v>33</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t="s">
        <v>89</v>
      </c>
      <c r="V138">
        <v>115.2</v>
      </c>
      <c r="W138">
        <v>124.5</v>
      </c>
      <c r="X138">
        <v>121.8</v>
      </c>
      <c r="Y138">
        <v>112.8</v>
      </c>
      <c r="Z138">
        <v>121.2</v>
      </c>
      <c r="AA138">
        <v>131.9</v>
      </c>
      <c r="AB138">
        <v>120.8</v>
      </c>
      <c r="AC138">
        <v>120.9</v>
      </c>
      <c r="AD138">
        <v>128.6</v>
      </c>
    </row>
    <row r="139" spans="1:30">
      <c r="A139" t="s">
        <v>35</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t="s">
        <v>89</v>
      </c>
      <c r="V139">
        <v>124.3</v>
      </c>
      <c r="W139">
        <v>128.4</v>
      </c>
      <c r="X139">
        <v>126.1</v>
      </c>
      <c r="Y139">
        <v>115.2</v>
      </c>
      <c r="Z139">
        <v>123.5</v>
      </c>
      <c r="AA139">
        <v>132.4</v>
      </c>
      <c r="AB139">
        <v>122.1</v>
      </c>
      <c r="AC139">
        <v>123.4</v>
      </c>
      <c r="AD139">
        <v>131.4</v>
      </c>
    </row>
    <row r="140" spans="1:30">
      <c r="A140" t="s">
        <v>30</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t="s">
        <v>33</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t="s">
        <v>90</v>
      </c>
      <c r="V141">
        <v>116.2</v>
      </c>
      <c r="W141">
        <v>124.7</v>
      </c>
      <c r="X141">
        <v>122.1</v>
      </c>
      <c r="Y141">
        <v>113.4</v>
      </c>
      <c r="Z141">
        <v>121.7</v>
      </c>
      <c r="AA141">
        <v>132.1</v>
      </c>
      <c r="AB141">
        <v>121.3</v>
      </c>
      <c r="AC141">
        <v>121.3</v>
      </c>
      <c r="AD141">
        <v>128.5</v>
      </c>
    </row>
    <row r="142" spans="1:30">
      <c r="A142" t="s">
        <v>35</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t="s">
        <v>90</v>
      </c>
      <c r="V142">
        <v>125</v>
      </c>
      <c r="W142">
        <v>128.6</v>
      </c>
      <c r="X142">
        <v>126.4</v>
      </c>
      <c r="Y142">
        <v>115.7</v>
      </c>
      <c r="Z142">
        <v>124</v>
      </c>
      <c r="AA142">
        <v>132.80000000000001</v>
      </c>
      <c r="AB142">
        <v>122.6</v>
      </c>
      <c r="AC142">
        <v>123.8</v>
      </c>
      <c r="AD142">
        <v>131.19999999999999</v>
      </c>
    </row>
    <row r="143" spans="1:30">
      <c r="A143" t="s">
        <v>30</v>
      </c>
      <c r="B143">
        <v>2016</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t="s">
        <v>33</v>
      </c>
      <c r="B144">
        <v>2016</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t="s">
        <v>91</v>
      </c>
      <c r="V144">
        <v>117.8</v>
      </c>
      <c r="W144">
        <v>125</v>
      </c>
      <c r="X144">
        <v>122.3</v>
      </c>
      <c r="Y144">
        <v>113.7</v>
      </c>
      <c r="Z144">
        <v>121.8</v>
      </c>
      <c r="AA144">
        <v>132.30000000000001</v>
      </c>
      <c r="AB144">
        <v>119.9</v>
      </c>
      <c r="AC144">
        <v>121.4</v>
      </c>
      <c r="AD144">
        <v>127.6</v>
      </c>
    </row>
    <row r="145" spans="1:30">
      <c r="A145" t="s">
        <v>35</v>
      </c>
      <c r="B145">
        <v>2016</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t="s">
        <v>91</v>
      </c>
      <c r="V145">
        <v>126.6</v>
      </c>
      <c r="W145">
        <v>129.19999999999999</v>
      </c>
      <c r="X145">
        <v>126.9</v>
      </c>
      <c r="Y145">
        <v>116</v>
      </c>
      <c r="Z145">
        <v>124.2</v>
      </c>
      <c r="AA145">
        <v>133.1</v>
      </c>
      <c r="AB145">
        <v>121.1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t="s">
        <v>92</v>
      </c>
      <c r="V147">
        <v>118</v>
      </c>
      <c r="W147">
        <v>125.1</v>
      </c>
      <c r="X147">
        <v>122.6</v>
      </c>
      <c r="Y147">
        <v>115.2</v>
      </c>
      <c r="Z147">
        <v>122</v>
      </c>
      <c r="AA147">
        <v>132.4</v>
      </c>
      <c r="AB147">
        <v>120.9</v>
      </c>
      <c r="AC147">
        <v>122.1</v>
      </c>
      <c r="AD147">
        <v>127.8</v>
      </c>
    </row>
    <row r="148" spans="1:30">
      <c r="A148" t="s">
        <v>35</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t="s">
        <v>92</v>
      </c>
      <c r="V148">
        <v>126.8</v>
      </c>
      <c r="W148">
        <v>129.4</v>
      </c>
      <c r="X148">
        <v>127.1</v>
      </c>
      <c r="Y148">
        <v>117</v>
      </c>
      <c r="Z148">
        <v>124.2</v>
      </c>
      <c r="AA148">
        <v>133.30000000000001</v>
      </c>
      <c r="AB148">
        <v>121.7</v>
      </c>
      <c r="AC148">
        <v>124.4</v>
      </c>
      <c r="AD148">
        <v>130.30000000000001</v>
      </c>
    </row>
    <row r="149" spans="1:30">
      <c r="A149" t="s">
        <v>30</v>
      </c>
      <c r="B149">
        <v>2017</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t="s">
        <v>33</v>
      </c>
      <c r="B150">
        <v>2017</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t="s">
        <v>93</v>
      </c>
      <c r="V150">
        <v>119.2</v>
      </c>
      <c r="W150">
        <v>125.3</v>
      </c>
      <c r="X150">
        <v>122.9</v>
      </c>
      <c r="Y150">
        <v>115.5</v>
      </c>
      <c r="Z150">
        <v>122.2</v>
      </c>
      <c r="AA150">
        <v>132.4</v>
      </c>
      <c r="AB150">
        <v>121.7</v>
      </c>
      <c r="AC150">
        <v>122.4</v>
      </c>
      <c r="AD150">
        <v>128.19999999999999</v>
      </c>
    </row>
    <row r="151" spans="1:30">
      <c r="A151" t="s">
        <v>35</v>
      </c>
      <c r="B151">
        <v>2017</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t="s">
        <v>93</v>
      </c>
      <c r="V151">
        <v>127.9</v>
      </c>
      <c r="W151">
        <v>129.69999999999999</v>
      </c>
      <c r="X151">
        <v>127.4</v>
      </c>
      <c r="Y151">
        <v>117.4</v>
      </c>
      <c r="Z151">
        <v>124.6</v>
      </c>
      <c r="AA151">
        <v>133.4</v>
      </c>
      <c r="AB151">
        <v>122.6</v>
      </c>
      <c r="AC151">
        <v>124.8</v>
      </c>
      <c r="AD151">
        <v>130.6</v>
      </c>
    </row>
    <row r="152" spans="1:30">
      <c r="A152" t="s">
        <v>30</v>
      </c>
      <c r="B152">
        <v>2017</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t="s">
        <v>33</v>
      </c>
      <c r="B153">
        <v>2017</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t="s">
        <v>94</v>
      </c>
      <c r="V153">
        <v>120.8</v>
      </c>
      <c r="W153">
        <v>125.6</v>
      </c>
      <c r="X153">
        <v>123.1</v>
      </c>
      <c r="Y153">
        <v>115.6</v>
      </c>
      <c r="Z153">
        <v>122.4</v>
      </c>
      <c r="AA153">
        <v>132.80000000000001</v>
      </c>
      <c r="AB153">
        <v>121.7</v>
      </c>
      <c r="AC153">
        <v>122.6</v>
      </c>
      <c r="AD153">
        <v>128.69999999999999</v>
      </c>
    </row>
    <row r="154" spans="1:30">
      <c r="A154" t="s">
        <v>35</v>
      </c>
      <c r="B154">
        <v>2017</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t="s">
        <v>94</v>
      </c>
      <c r="V154">
        <v>129.1</v>
      </c>
      <c r="W154">
        <v>130.1</v>
      </c>
      <c r="X154">
        <v>127.8</v>
      </c>
      <c r="Y154">
        <v>117.6</v>
      </c>
      <c r="Z154">
        <v>125</v>
      </c>
      <c r="AA154">
        <v>133.80000000000001</v>
      </c>
      <c r="AB154">
        <v>122.6</v>
      </c>
      <c r="AC154">
        <v>125.1</v>
      </c>
      <c r="AD154">
        <v>130.9</v>
      </c>
    </row>
    <row r="155" spans="1:30">
      <c r="A155" t="s">
        <v>30</v>
      </c>
      <c r="B155">
        <v>2017</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t="s">
        <v>33</v>
      </c>
      <c r="B156">
        <v>2017</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t="s">
        <v>95</v>
      </c>
      <c r="V156">
        <v>121.4</v>
      </c>
      <c r="W156">
        <v>126</v>
      </c>
      <c r="X156">
        <v>123.4</v>
      </c>
      <c r="Y156">
        <v>114.3</v>
      </c>
      <c r="Z156">
        <v>122.6</v>
      </c>
      <c r="AA156">
        <v>133.6</v>
      </c>
      <c r="AB156">
        <v>122.2</v>
      </c>
      <c r="AC156">
        <v>122.5</v>
      </c>
      <c r="AD156">
        <v>129.1</v>
      </c>
    </row>
    <row r="157" spans="1:30">
      <c r="A157" t="s">
        <v>35</v>
      </c>
      <c r="B157">
        <v>2017</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t="s">
        <v>95</v>
      </c>
      <c r="V157">
        <v>129.80000000000001</v>
      </c>
      <c r="W157">
        <v>130.4</v>
      </c>
      <c r="X157">
        <v>128.1</v>
      </c>
      <c r="Y157">
        <v>116.6</v>
      </c>
      <c r="Z157">
        <v>125.1</v>
      </c>
      <c r="AA157">
        <v>134.5</v>
      </c>
      <c r="AB157">
        <v>123.1</v>
      </c>
      <c r="AC157">
        <v>125.1</v>
      </c>
      <c r="AD157">
        <v>131.1</v>
      </c>
    </row>
    <row r="158" spans="1:30">
      <c r="A158" t="s">
        <v>30</v>
      </c>
      <c r="B158">
        <v>2017</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t="s">
        <v>33</v>
      </c>
      <c r="B159">
        <v>2017</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t="s">
        <v>96</v>
      </c>
      <c r="V159">
        <v>120.1</v>
      </c>
      <c r="W159">
        <v>126.5</v>
      </c>
      <c r="X159">
        <v>123.6</v>
      </c>
      <c r="Y159">
        <v>114.3</v>
      </c>
      <c r="Z159">
        <v>122.8</v>
      </c>
      <c r="AA159">
        <v>133.80000000000001</v>
      </c>
      <c r="AB159">
        <v>122</v>
      </c>
      <c r="AC159">
        <v>122.6</v>
      </c>
      <c r="AD159">
        <v>129.30000000000001</v>
      </c>
    </row>
    <row r="160" spans="1:30">
      <c r="A160" t="s">
        <v>35</v>
      </c>
      <c r="B160">
        <v>2017</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t="s">
        <v>96</v>
      </c>
      <c r="V160">
        <v>129.4</v>
      </c>
      <c r="W160">
        <v>130.9</v>
      </c>
      <c r="X160">
        <v>128.4</v>
      </c>
      <c r="Y160">
        <v>116.7</v>
      </c>
      <c r="Z160">
        <v>125.7</v>
      </c>
      <c r="AA160">
        <v>134.80000000000001</v>
      </c>
      <c r="AB160">
        <v>123</v>
      </c>
      <c r="AC160">
        <v>125.3</v>
      </c>
      <c r="AD160">
        <v>131.4</v>
      </c>
    </row>
    <row r="161" spans="1:30">
      <c r="A161" t="s">
        <v>30</v>
      </c>
      <c r="B161">
        <v>2017</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t="s">
        <v>33</v>
      </c>
      <c r="B162">
        <v>2017</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t="s">
        <v>97</v>
      </c>
      <c r="V162">
        <v>119</v>
      </c>
      <c r="W162">
        <v>126.8</v>
      </c>
      <c r="X162">
        <v>123.8</v>
      </c>
      <c r="Y162">
        <v>113.9</v>
      </c>
      <c r="Z162">
        <v>122.9</v>
      </c>
      <c r="AA162">
        <v>134.30000000000001</v>
      </c>
      <c r="AB162">
        <v>122.5</v>
      </c>
      <c r="AC162">
        <v>122.7</v>
      </c>
      <c r="AD162">
        <v>129.9</v>
      </c>
    </row>
    <row r="163" spans="1:30">
      <c r="A163" t="s">
        <v>35</v>
      </c>
      <c r="B163">
        <v>2017</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t="s">
        <v>97</v>
      </c>
      <c r="V163">
        <v>128.80000000000001</v>
      </c>
      <c r="W163">
        <v>131.19999999999999</v>
      </c>
      <c r="X163">
        <v>128.5</v>
      </c>
      <c r="Y163">
        <v>116.5</v>
      </c>
      <c r="Z163">
        <v>125.9</v>
      </c>
      <c r="AA163">
        <v>135.4</v>
      </c>
      <c r="AB163">
        <v>123.4</v>
      </c>
      <c r="AC163">
        <v>125.5</v>
      </c>
      <c r="AD163">
        <v>132</v>
      </c>
    </row>
    <row r="164" spans="1:30">
      <c r="A164" t="s">
        <v>30</v>
      </c>
      <c r="B164">
        <v>2017</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t="s">
        <v>33</v>
      </c>
      <c r="B165">
        <v>2017</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t="s">
        <v>98</v>
      </c>
      <c r="V165">
        <v>119.7</v>
      </c>
      <c r="W165">
        <v>127.2</v>
      </c>
      <c r="X165">
        <v>125</v>
      </c>
      <c r="Y165">
        <v>113.2</v>
      </c>
      <c r="Z165">
        <v>123.5</v>
      </c>
      <c r="AA165">
        <v>135.5</v>
      </c>
      <c r="AB165">
        <v>122.4</v>
      </c>
      <c r="AC165">
        <v>123</v>
      </c>
      <c r="AD165">
        <v>131.80000000000001</v>
      </c>
    </row>
    <row r="166" spans="1:30">
      <c r="A166" t="s">
        <v>35</v>
      </c>
      <c r="B166">
        <v>2017</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t="s">
        <v>98</v>
      </c>
      <c r="V166">
        <v>129.4</v>
      </c>
      <c r="W166">
        <v>131.9</v>
      </c>
      <c r="X166">
        <v>129.4</v>
      </c>
      <c r="Y166">
        <v>116</v>
      </c>
      <c r="Z166">
        <v>126.6</v>
      </c>
      <c r="AA166">
        <v>136.80000000000001</v>
      </c>
      <c r="AB166">
        <v>123.6</v>
      </c>
      <c r="AC166">
        <v>125.9</v>
      </c>
      <c r="AD166">
        <v>134.19999999999999</v>
      </c>
    </row>
    <row r="167" spans="1:30">
      <c r="A167" t="s">
        <v>30</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t="s">
        <v>33</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t="s">
        <v>99</v>
      </c>
      <c r="V168">
        <v>118.9</v>
      </c>
      <c r="W168">
        <v>127.7</v>
      </c>
      <c r="X168">
        <v>125.7</v>
      </c>
      <c r="Y168">
        <v>114.6</v>
      </c>
      <c r="Z168">
        <v>124.1</v>
      </c>
      <c r="AA168">
        <v>135.69999999999999</v>
      </c>
      <c r="AB168">
        <v>123.3</v>
      </c>
      <c r="AC168">
        <v>123.8</v>
      </c>
      <c r="AD168">
        <v>132.69999999999999</v>
      </c>
    </row>
    <row r="169" spans="1:30">
      <c r="A169" t="s">
        <v>35</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t="s">
        <v>99</v>
      </c>
      <c r="V169">
        <v>129.80000000000001</v>
      </c>
      <c r="W169">
        <v>132.80000000000001</v>
      </c>
      <c r="X169">
        <v>130.19999999999999</v>
      </c>
      <c r="Y169">
        <v>117.3</v>
      </c>
      <c r="Z169">
        <v>127.3</v>
      </c>
      <c r="AA169">
        <v>137.6</v>
      </c>
      <c r="AB169">
        <v>124.5</v>
      </c>
      <c r="AC169">
        <v>126.8</v>
      </c>
      <c r="AD169">
        <v>135.4</v>
      </c>
    </row>
    <row r="170" spans="1:30">
      <c r="A170" t="s">
        <v>30</v>
      </c>
      <c r="B170">
        <v>2017</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t="s">
        <v>33</v>
      </c>
      <c r="B171">
        <v>2017</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t="s">
        <v>100</v>
      </c>
      <c r="V171">
        <v>120.6</v>
      </c>
      <c r="W171">
        <v>128.1</v>
      </c>
      <c r="X171">
        <v>126.1</v>
      </c>
      <c r="Y171">
        <v>115.7</v>
      </c>
      <c r="Z171">
        <v>124.5</v>
      </c>
      <c r="AA171">
        <v>135.9</v>
      </c>
      <c r="AB171">
        <v>124.4</v>
      </c>
      <c r="AC171">
        <v>124.5</v>
      </c>
      <c r="AD171">
        <v>132.4</v>
      </c>
    </row>
    <row r="172" spans="1:30">
      <c r="A172" t="s">
        <v>35</v>
      </c>
      <c r="B172">
        <v>2017</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t="s">
        <v>100</v>
      </c>
      <c r="V172">
        <v>131</v>
      </c>
      <c r="W172">
        <v>133.30000000000001</v>
      </c>
      <c r="X172">
        <v>130.6</v>
      </c>
      <c r="Y172">
        <v>118.3</v>
      </c>
      <c r="Z172">
        <v>127.9</v>
      </c>
      <c r="AA172">
        <v>137.4</v>
      </c>
      <c r="AB172">
        <v>125.7</v>
      </c>
      <c r="AC172">
        <v>127.5</v>
      </c>
      <c r="AD172">
        <v>135.19999999999999</v>
      </c>
    </row>
    <row r="173" spans="1:30">
      <c r="A173" t="s">
        <v>30</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t="s">
        <v>33</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t="s">
        <v>101</v>
      </c>
      <c r="V174">
        <v>122.6</v>
      </c>
      <c r="W174">
        <v>128.30000000000001</v>
      </c>
      <c r="X174">
        <v>126.6</v>
      </c>
      <c r="Y174">
        <v>115</v>
      </c>
      <c r="Z174">
        <v>124.8</v>
      </c>
      <c r="AA174">
        <v>136.30000000000001</v>
      </c>
      <c r="AB174">
        <v>124.6</v>
      </c>
      <c r="AC174">
        <v>124.5</v>
      </c>
      <c r="AD174">
        <v>133.5</v>
      </c>
    </row>
    <row r="175" spans="1:30">
      <c r="A175" t="s">
        <v>35</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t="s">
        <v>101</v>
      </c>
      <c r="V175">
        <v>132.19999999999999</v>
      </c>
      <c r="W175">
        <v>133.6</v>
      </c>
      <c r="X175">
        <v>131.30000000000001</v>
      </c>
      <c r="Y175">
        <v>117.8</v>
      </c>
      <c r="Z175">
        <v>128.4</v>
      </c>
      <c r="AA175">
        <v>137.9</v>
      </c>
      <c r="AB175">
        <v>126.2</v>
      </c>
      <c r="AC175">
        <v>127.7</v>
      </c>
      <c r="AD175">
        <v>136.1</v>
      </c>
    </row>
    <row r="176" spans="1:30">
      <c r="A176" t="s">
        <v>30</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t="s">
        <v>33</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t="s">
        <v>102</v>
      </c>
      <c r="V177">
        <v>125.7</v>
      </c>
      <c r="W177">
        <v>128.80000000000001</v>
      </c>
      <c r="X177">
        <v>127.4</v>
      </c>
      <c r="Y177">
        <v>115.3</v>
      </c>
      <c r="Z177">
        <v>125.1</v>
      </c>
      <c r="AA177">
        <v>136.6</v>
      </c>
      <c r="AB177">
        <v>124.9</v>
      </c>
      <c r="AC177">
        <v>124.9</v>
      </c>
      <c r="AD177">
        <v>134.80000000000001</v>
      </c>
    </row>
    <row r="178" spans="1:30">
      <c r="A178" t="s">
        <v>35</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t="s">
        <v>102</v>
      </c>
      <c r="V178">
        <v>135.30000000000001</v>
      </c>
      <c r="W178">
        <v>134.4</v>
      </c>
      <c r="X178">
        <v>132.6</v>
      </c>
      <c r="Y178">
        <v>118.3</v>
      </c>
      <c r="Z178">
        <v>128.9</v>
      </c>
      <c r="AA178">
        <v>138.6</v>
      </c>
      <c r="AB178">
        <v>126.8</v>
      </c>
      <c r="AC178">
        <v>128.4</v>
      </c>
      <c r="AD178">
        <v>137.6</v>
      </c>
    </row>
    <row r="179" spans="1:30">
      <c r="A179" t="s">
        <v>30</v>
      </c>
      <c r="B179">
        <v>2017</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t="s">
        <v>33</v>
      </c>
      <c r="B180">
        <v>2017</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t="s">
        <v>103</v>
      </c>
      <c r="V180">
        <v>126.8</v>
      </c>
      <c r="W180">
        <v>129.30000000000001</v>
      </c>
      <c r="X180">
        <v>128.19999999999999</v>
      </c>
      <c r="Y180">
        <v>115.3</v>
      </c>
      <c r="Z180">
        <v>125.6</v>
      </c>
      <c r="AA180">
        <v>136.69999999999999</v>
      </c>
      <c r="AB180">
        <v>124.6</v>
      </c>
      <c r="AC180">
        <v>125.1</v>
      </c>
      <c r="AD180">
        <v>134.1</v>
      </c>
    </row>
    <row r="181" spans="1:30">
      <c r="A181" t="s">
        <v>35</v>
      </c>
      <c r="B181">
        <v>2017</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t="s">
        <v>103</v>
      </c>
      <c r="V181">
        <v>136.6</v>
      </c>
      <c r="W181">
        <v>134.69999999999999</v>
      </c>
      <c r="X181">
        <v>133.1</v>
      </c>
      <c r="Y181">
        <v>118.5</v>
      </c>
      <c r="Z181">
        <v>129</v>
      </c>
      <c r="AA181">
        <v>138.5</v>
      </c>
      <c r="AB181">
        <v>126.5</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t="s">
        <v>104</v>
      </c>
      <c r="V183">
        <v>127.3</v>
      </c>
      <c r="W183">
        <v>129.5</v>
      </c>
      <c r="X183">
        <v>129</v>
      </c>
      <c r="Y183">
        <v>116.3</v>
      </c>
      <c r="Z183">
        <v>126.2</v>
      </c>
      <c r="AA183">
        <v>137.1</v>
      </c>
      <c r="AB183">
        <v>125.5</v>
      </c>
      <c r="AC183">
        <v>125.8</v>
      </c>
      <c r="AD183">
        <v>134.1</v>
      </c>
    </row>
    <row r="184" spans="1:30">
      <c r="A184" t="s">
        <v>35</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t="s">
        <v>104</v>
      </c>
      <c r="V184">
        <v>136.6</v>
      </c>
      <c r="W184">
        <v>134.9</v>
      </c>
      <c r="X184">
        <v>133.30000000000001</v>
      </c>
      <c r="Y184">
        <v>119.3</v>
      </c>
      <c r="Z184">
        <v>129.69999999999999</v>
      </c>
      <c r="AA184">
        <v>139</v>
      </c>
      <c r="AB184">
        <v>127.3</v>
      </c>
      <c r="AC184">
        <v>129.1</v>
      </c>
      <c r="AD184">
        <v>136.9</v>
      </c>
    </row>
    <row r="185" spans="1:30">
      <c r="A185" t="s">
        <v>30</v>
      </c>
      <c r="B185">
        <v>2018</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t="s">
        <v>33</v>
      </c>
      <c r="B186">
        <v>2018</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t="s">
        <v>105</v>
      </c>
      <c r="V186">
        <v>127.3</v>
      </c>
      <c r="W186">
        <v>129.9</v>
      </c>
      <c r="X186">
        <v>129.80000000000001</v>
      </c>
      <c r="Y186">
        <v>117.4</v>
      </c>
      <c r="Z186">
        <v>126.5</v>
      </c>
      <c r="AA186">
        <v>137.19999999999999</v>
      </c>
      <c r="AB186">
        <v>126.2</v>
      </c>
      <c r="AC186">
        <v>126.5</v>
      </c>
      <c r="AD186">
        <v>134</v>
      </c>
    </row>
    <row r="187" spans="1:30">
      <c r="A187" t="s">
        <v>35</v>
      </c>
      <c r="B187">
        <v>2018</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t="s">
        <v>105</v>
      </c>
      <c r="V187">
        <v>136.69999999999999</v>
      </c>
      <c r="W187">
        <v>135.19999999999999</v>
      </c>
      <c r="X187">
        <v>133.80000000000001</v>
      </c>
      <c r="Y187">
        <v>120.2</v>
      </c>
      <c r="Z187">
        <v>129.9</v>
      </c>
      <c r="AA187">
        <v>139</v>
      </c>
      <c r="AB187">
        <v>127.7</v>
      </c>
      <c r="AC187">
        <v>129.6</v>
      </c>
      <c r="AD187">
        <v>136.4</v>
      </c>
    </row>
    <row r="188" spans="1:30">
      <c r="A188" t="s">
        <v>30</v>
      </c>
      <c r="B188">
        <v>2018</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t="s">
        <v>33</v>
      </c>
      <c r="B189">
        <v>2018</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t="s">
        <v>106</v>
      </c>
      <c r="V189">
        <v>126.4</v>
      </c>
      <c r="W189">
        <v>130.80000000000001</v>
      </c>
      <c r="X189">
        <v>130.5</v>
      </c>
      <c r="Y189">
        <v>117.8</v>
      </c>
      <c r="Z189">
        <v>126.8</v>
      </c>
      <c r="AA189">
        <v>137.80000000000001</v>
      </c>
      <c r="AB189">
        <v>126.7</v>
      </c>
      <c r="AC189">
        <v>127.1</v>
      </c>
      <c r="AD189">
        <v>134</v>
      </c>
    </row>
    <row r="190" spans="1:30">
      <c r="A190" t="s">
        <v>35</v>
      </c>
      <c r="B190">
        <v>2018</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t="s">
        <v>106</v>
      </c>
      <c r="V190">
        <v>136.5</v>
      </c>
      <c r="W190">
        <v>135.6</v>
      </c>
      <c r="X190">
        <v>134.30000000000001</v>
      </c>
      <c r="Y190">
        <v>121</v>
      </c>
      <c r="Z190">
        <v>130.4</v>
      </c>
      <c r="AA190">
        <v>139.80000000000001</v>
      </c>
      <c r="AB190">
        <v>128.19999999999999</v>
      </c>
      <c r="AC190">
        <v>130.30000000000001</v>
      </c>
      <c r="AD190">
        <v>136.5</v>
      </c>
    </row>
    <row r="191" spans="1:30">
      <c r="A191" t="s">
        <v>30</v>
      </c>
      <c r="B191">
        <v>2018</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t="s">
        <v>33</v>
      </c>
      <c r="B192">
        <v>2018</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t="s">
        <v>107</v>
      </c>
      <c r="V192">
        <v>124.6</v>
      </c>
      <c r="W192">
        <v>131.80000000000001</v>
      </c>
      <c r="X192">
        <v>131.30000000000001</v>
      </c>
      <c r="Y192">
        <v>118.9</v>
      </c>
      <c r="Z192">
        <v>127.6</v>
      </c>
      <c r="AA192">
        <v>139.69999999999999</v>
      </c>
      <c r="AB192">
        <v>127.6</v>
      </c>
      <c r="AC192">
        <v>128.19999999999999</v>
      </c>
      <c r="AD192">
        <v>134.80000000000001</v>
      </c>
    </row>
    <row r="193" spans="1:30">
      <c r="A193" t="s">
        <v>35</v>
      </c>
      <c r="B193">
        <v>2018</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t="s">
        <v>107</v>
      </c>
      <c r="V193">
        <v>136.5</v>
      </c>
      <c r="W193">
        <v>136.6</v>
      </c>
      <c r="X193">
        <v>135.19999999999999</v>
      </c>
      <c r="Y193">
        <v>121.9</v>
      </c>
      <c r="Z193">
        <v>131.30000000000001</v>
      </c>
      <c r="AA193">
        <v>141.4</v>
      </c>
      <c r="AB193">
        <v>129.19999999999999</v>
      </c>
      <c r="AC193">
        <v>131.30000000000001</v>
      </c>
      <c r="AD193">
        <v>137.1</v>
      </c>
    </row>
    <row r="194" spans="1:30">
      <c r="A194" t="s">
        <v>30</v>
      </c>
      <c r="B194">
        <v>2018</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t="s">
        <v>33</v>
      </c>
      <c r="B195">
        <v>2018</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t="s">
        <v>108</v>
      </c>
      <c r="V195">
        <v>124.7</v>
      </c>
      <c r="W195">
        <v>132.5</v>
      </c>
      <c r="X195">
        <v>132</v>
      </c>
      <c r="Y195">
        <v>119.8</v>
      </c>
      <c r="Z195">
        <v>128</v>
      </c>
      <c r="AA195">
        <v>140.4</v>
      </c>
      <c r="AB195">
        <v>128.1</v>
      </c>
      <c r="AC195">
        <v>128.9</v>
      </c>
      <c r="AD195">
        <v>135.4</v>
      </c>
    </row>
    <row r="196" spans="1:30">
      <c r="A196" t="s">
        <v>35</v>
      </c>
      <c r="B196">
        <v>2018</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t="s">
        <v>108</v>
      </c>
      <c r="V196">
        <v>136.9</v>
      </c>
      <c r="W196">
        <v>137.4</v>
      </c>
      <c r="X196">
        <v>136</v>
      </c>
      <c r="Y196">
        <v>122.9</v>
      </c>
      <c r="Z196">
        <v>131.80000000000001</v>
      </c>
      <c r="AA196">
        <v>142.1</v>
      </c>
      <c r="AB196">
        <v>129.9</v>
      </c>
      <c r="AC196">
        <v>132.1</v>
      </c>
      <c r="AD196">
        <v>137.80000000000001</v>
      </c>
    </row>
    <row r="197" spans="1:30">
      <c r="A197" t="s">
        <v>30</v>
      </c>
      <c r="B197">
        <v>2018</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t="s">
        <v>33</v>
      </c>
      <c r="B198">
        <v>2018</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t="s">
        <v>109</v>
      </c>
      <c r="V198">
        <v>126.5</v>
      </c>
      <c r="W198">
        <v>133.1</v>
      </c>
      <c r="X198">
        <v>132.6</v>
      </c>
      <c r="Y198">
        <v>120.4</v>
      </c>
      <c r="Z198">
        <v>128.5</v>
      </c>
      <c r="AA198">
        <v>141.19999999999999</v>
      </c>
      <c r="AB198">
        <v>128.19999999999999</v>
      </c>
      <c r="AC198">
        <v>129.5</v>
      </c>
      <c r="AD198">
        <v>136.19999999999999</v>
      </c>
    </row>
    <row r="199" spans="1:30">
      <c r="A199" t="s">
        <v>35</v>
      </c>
      <c r="B199">
        <v>2018</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t="s">
        <v>109</v>
      </c>
      <c r="V199">
        <v>138.1</v>
      </c>
      <c r="W199">
        <v>137.9</v>
      </c>
      <c r="X199">
        <v>136.19999999999999</v>
      </c>
      <c r="Y199">
        <v>123.7</v>
      </c>
      <c r="Z199">
        <v>132.6</v>
      </c>
      <c r="AA199">
        <v>142.80000000000001</v>
      </c>
      <c r="AB199">
        <v>130.1</v>
      </c>
      <c r="AC199">
        <v>132.6</v>
      </c>
      <c r="AD199">
        <v>138.5</v>
      </c>
    </row>
    <row r="200" spans="1:30">
      <c r="A200" t="s">
        <v>30</v>
      </c>
      <c r="B200">
        <v>2018</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t="s">
        <v>33</v>
      </c>
      <c r="B201">
        <v>2018</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t="s">
        <v>110</v>
      </c>
      <c r="V201">
        <v>128.1</v>
      </c>
      <c r="W201">
        <v>133.6</v>
      </c>
      <c r="X201">
        <v>133.6</v>
      </c>
      <c r="Y201">
        <v>120.1</v>
      </c>
      <c r="Z201">
        <v>129</v>
      </c>
      <c r="AA201">
        <v>144</v>
      </c>
      <c r="AB201">
        <v>128.19999999999999</v>
      </c>
      <c r="AC201">
        <v>130.19999999999999</v>
      </c>
      <c r="AD201">
        <v>137.5</v>
      </c>
    </row>
    <row r="202" spans="1:30">
      <c r="A202" t="s">
        <v>35</v>
      </c>
      <c r="B202">
        <v>2018</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t="s">
        <v>110</v>
      </c>
      <c r="V202">
        <v>139.69999999999999</v>
      </c>
      <c r="W202">
        <v>138.6</v>
      </c>
      <c r="X202">
        <v>137</v>
      </c>
      <c r="Y202">
        <v>123.6</v>
      </c>
      <c r="Z202">
        <v>133.1</v>
      </c>
      <c r="AA202">
        <v>144.69999999999999</v>
      </c>
      <c r="AB202">
        <v>130.1</v>
      </c>
      <c r="AC202">
        <v>133.19999999999999</v>
      </c>
      <c r="AD202">
        <v>139.80000000000001</v>
      </c>
    </row>
    <row r="203" spans="1:30">
      <c r="A203" t="s">
        <v>30</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t="s">
        <v>33</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t="s">
        <v>111</v>
      </c>
      <c r="V204">
        <v>129.80000000000001</v>
      </c>
      <c r="W204">
        <v>134.4</v>
      </c>
      <c r="X204">
        <v>134.9</v>
      </c>
      <c r="Y204">
        <v>120.7</v>
      </c>
      <c r="Z204">
        <v>129.80000000000001</v>
      </c>
      <c r="AA204">
        <v>145.30000000000001</v>
      </c>
      <c r="AB204">
        <v>128.30000000000001</v>
      </c>
      <c r="AC204">
        <v>131</v>
      </c>
      <c r="AD204">
        <v>138</v>
      </c>
    </row>
    <row r="205" spans="1:30">
      <c r="A205" t="s">
        <v>35</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t="s">
        <v>111</v>
      </c>
      <c r="V205">
        <v>140.9</v>
      </c>
      <c r="W205">
        <v>139.4</v>
      </c>
      <c r="X205">
        <v>137.69999999999999</v>
      </c>
      <c r="Y205">
        <v>124.3</v>
      </c>
      <c r="Z205">
        <v>133.6</v>
      </c>
      <c r="AA205">
        <v>146</v>
      </c>
      <c r="AB205">
        <v>130.1</v>
      </c>
      <c r="AC205">
        <v>133.9</v>
      </c>
      <c r="AD205">
        <v>140.4</v>
      </c>
    </row>
    <row r="206" spans="1:30">
      <c r="A206" t="s">
        <v>30</v>
      </c>
      <c r="B206">
        <v>2018</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t="s">
        <v>33</v>
      </c>
      <c r="B207">
        <v>2018</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t="s">
        <v>112</v>
      </c>
      <c r="V207">
        <v>131.19999999999999</v>
      </c>
      <c r="W207">
        <v>134.9</v>
      </c>
      <c r="X207">
        <v>135.69999999999999</v>
      </c>
      <c r="Y207">
        <v>122.5</v>
      </c>
      <c r="Z207">
        <v>130.19999999999999</v>
      </c>
      <c r="AA207">
        <v>145.19999999999999</v>
      </c>
      <c r="AB207">
        <v>129.30000000000001</v>
      </c>
      <c r="AC207">
        <v>131.9</v>
      </c>
      <c r="AD207">
        <v>138.1</v>
      </c>
    </row>
    <row r="208" spans="1:30">
      <c r="A208" t="s">
        <v>35</v>
      </c>
      <c r="B208">
        <v>2018</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t="s">
        <v>112</v>
      </c>
      <c r="V208">
        <v>142.30000000000001</v>
      </c>
      <c r="W208">
        <v>139.69999999999999</v>
      </c>
      <c r="X208">
        <v>138.4</v>
      </c>
      <c r="Y208">
        <v>126</v>
      </c>
      <c r="Z208">
        <v>134.5</v>
      </c>
      <c r="AA208">
        <v>146.19999999999999</v>
      </c>
      <c r="AB208">
        <v>130.9</v>
      </c>
      <c r="AC208">
        <v>134.69999999999999</v>
      </c>
      <c r="AD208">
        <v>140.19999999999999</v>
      </c>
    </row>
    <row r="209" spans="1:30">
      <c r="A209" t="s">
        <v>30</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t="s">
        <v>33</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t="s">
        <v>113</v>
      </c>
      <c r="V210">
        <v>133.4</v>
      </c>
      <c r="W210">
        <v>135.1</v>
      </c>
      <c r="X210">
        <v>136.19999999999999</v>
      </c>
      <c r="Y210">
        <v>123.3</v>
      </c>
      <c r="Z210">
        <v>130.69999999999999</v>
      </c>
      <c r="AA210">
        <v>145.5</v>
      </c>
      <c r="AB210">
        <v>130.4</v>
      </c>
      <c r="AC210">
        <v>132.5</v>
      </c>
      <c r="AD210">
        <v>138.9</v>
      </c>
    </row>
    <row r="211" spans="1:30">
      <c r="A211" t="s">
        <v>35</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t="s">
        <v>114</v>
      </c>
      <c r="V211">
        <v>145.30000000000001</v>
      </c>
      <c r="W211">
        <v>142.19999999999999</v>
      </c>
      <c r="X211">
        <v>142.1</v>
      </c>
      <c r="Y211">
        <v>125.5</v>
      </c>
      <c r="Z211">
        <v>136.5</v>
      </c>
      <c r="AA211">
        <v>147.80000000000001</v>
      </c>
      <c r="AB211">
        <v>132</v>
      </c>
      <c r="AC211">
        <v>136.30000000000001</v>
      </c>
      <c r="AD211">
        <v>140.80000000000001</v>
      </c>
    </row>
    <row r="212" spans="1:30">
      <c r="A212" t="s">
        <v>30</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t="s">
        <v>33</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t="s">
        <v>114</v>
      </c>
      <c r="V213">
        <v>136.69999999999999</v>
      </c>
      <c r="W213">
        <v>135.80000000000001</v>
      </c>
      <c r="X213">
        <v>136.80000000000001</v>
      </c>
      <c r="Y213">
        <v>121.2</v>
      </c>
      <c r="Z213">
        <v>131.30000000000001</v>
      </c>
      <c r="AA213">
        <v>146.1</v>
      </c>
      <c r="AB213">
        <v>130.5</v>
      </c>
      <c r="AC213">
        <v>132.19999999999999</v>
      </c>
      <c r="AD213">
        <v>139</v>
      </c>
    </row>
    <row r="214" spans="1:30">
      <c r="A214" t="s">
        <v>35</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t="s">
        <v>114</v>
      </c>
      <c r="V214">
        <v>145.1</v>
      </c>
      <c r="W214">
        <v>142.19999999999999</v>
      </c>
      <c r="X214">
        <v>142.1</v>
      </c>
      <c r="Y214">
        <v>125.5</v>
      </c>
      <c r="Z214">
        <v>136.5</v>
      </c>
      <c r="AA214">
        <v>147.80000000000001</v>
      </c>
      <c r="AB214">
        <v>132</v>
      </c>
      <c r="AC214">
        <v>136.30000000000001</v>
      </c>
      <c r="AD214">
        <v>140.80000000000001</v>
      </c>
    </row>
    <row r="215" spans="1:30">
      <c r="A215" t="s">
        <v>30</v>
      </c>
      <c r="B215">
        <v>2018</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t="s">
        <v>33</v>
      </c>
      <c r="B216">
        <v>2018</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t="s">
        <v>115</v>
      </c>
      <c r="V216">
        <v>132.4</v>
      </c>
      <c r="W216">
        <v>136.19999999999999</v>
      </c>
      <c r="X216">
        <v>137.30000000000001</v>
      </c>
      <c r="Y216">
        <v>118.8</v>
      </c>
      <c r="Z216">
        <v>131.69999999999999</v>
      </c>
      <c r="AA216">
        <v>146.5</v>
      </c>
      <c r="AB216">
        <v>130.80000000000001</v>
      </c>
      <c r="AC216">
        <v>131.69999999999999</v>
      </c>
      <c r="AD216">
        <v>138</v>
      </c>
    </row>
    <row r="217" spans="1:30">
      <c r="A217" t="s">
        <v>35</v>
      </c>
      <c r="B217">
        <v>2018</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t="s">
        <v>115</v>
      </c>
      <c r="V217">
        <v>142.69999999999999</v>
      </c>
      <c r="W217">
        <v>143.19999999999999</v>
      </c>
      <c r="X217">
        <v>144.9</v>
      </c>
      <c r="Y217">
        <v>123.6</v>
      </c>
      <c r="Z217">
        <v>136.80000000000001</v>
      </c>
      <c r="AA217">
        <v>150.1</v>
      </c>
      <c r="AB217">
        <v>132.19999999999999</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t="s">
        <v>116</v>
      </c>
      <c r="V219">
        <v>128.6</v>
      </c>
      <c r="W219">
        <v>136.30000000000001</v>
      </c>
      <c r="X219">
        <v>137.80000000000001</v>
      </c>
      <c r="Y219">
        <v>118.6</v>
      </c>
      <c r="Z219">
        <v>131.9</v>
      </c>
      <c r="AA219">
        <v>146.6</v>
      </c>
      <c r="AB219">
        <v>131.69999999999999</v>
      </c>
      <c r="AC219">
        <v>131.80000000000001</v>
      </c>
      <c r="AD219">
        <v>138</v>
      </c>
    </row>
    <row r="220" spans="1:30">
      <c r="A220" t="s">
        <v>35</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t="s">
        <v>116</v>
      </c>
      <c r="V220">
        <v>139.5</v>
      </c>
      <c r="W220">
        <v>143.6</v>
      </c>
      <c r="X220">
        <v>145.1</v>
      </c>
      <c r="Y220">
        <v>123.3</v>
      </c>
      <c r="Z220">
        <v>136.69999999999999</v>
      </c>
      <c r="AA220">
        <v>150.19999999999999</v>
      </c>
      <c r="AB220">
        <v>132.80000000000001</v>
      </c>
      <c r="AC220">
        <v>136.9</v>
      </c>
      <c r="AD220">
        <v>139.6</v>
      </c>
    </row>
    <row r="221" spans="1:30">
      <c r="A221" t="s">
        <v>30</v>
      </c>
      <c r="B221">
        <v>2019</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t="s">
        <v>33</v>
      </c>
      <c r="B222">
        <v>2019</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t="s">
        <v>117</v>
      </c>
      <c r="V222">
        <v>127.1</v>
      </c>
      <c r="W222">
        <v>136.6</v>
      </c>
      <c r="X222">
        <v>138.5</v>
      </c>
      <c r="Y222">
        <v>119.2</v>
      </c>
      <c r="Z222">
        <v>132.19999999999999</v>
      </c>
      <c r="AA222">
        <v>146.6</v>
      </c>
      <c r="AB222">
        <v>133</v>
      </c>
      <c r="AC222">
        <v>132.4</v>
      </c>
      <c r="AD222">
        <v>138.6</v>
      </c>
    </row>
    <row r="223" spans="1:30">
      <c r="A223" t="s">
        <v>35</v>
      </c>
      <c r="B223">
        <v>2019</v>
      </c>
      <c r="C223" t="s">
        <v>36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t="s">
        <v>117</v>
      </c>
      <c r="V223">
        <v>138.4</v>
      </c>
      <c r="W223">
        <v>143.69999999999999</v>
      </c>
      <c r="X223">
        <v>145.6</v>
      </c>
      <c r="Y223">
        <v>123.9</v>
      </c>
      <c r="Z223">
        <v>137.1</v>
      </c>
      <c r="AA223">
        <v>150.30000000000001</v>
      </c>
      <c r="AB223">
        <v>134.1</v>
      </c>
      <c r="AC223">
        <v>137.4</v>
      </c>
      <c r="AD223">
        <v>139.9</v>
      </c>
    </row>
    <row r="224" spans="1:30">
      <c r="A224" t="s">
        <v>30</v>
      </c>
      <c r="B224">
        <v>2019</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t="s">
        <v>33</v>
      </c>
      <c r="B225">
        <v>2019</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t="s">
        <v>118</v>
      </c>
      <c r="V225">
        <v>128.80000000000001</v>
      </c>
      <c r="W225">
        <v>136.80000000000001</v>
      </c>
      <c r="X225">
        <v>139.19999999999999</v>
      </c>
      <c r="Y225">
        <v>119.9</v>
      </c>
      <c r="Z225">
        <v>133</v>
      </c>
      <c r="AA225">
        <v>146.69999999999999</v>
      </c>
      <c r="AB225">
        <v>132.5</v>
      </c>
      <c r="AC225">
        <v>132.80000000000001</v>
      </c>
      <c r="AD225">
        <v>139.5</v>
      </c>
    </row>
    <row r="226" spans="1:30">
      <c r="A226" t="s">
        <v>35</v>
      </c>
      <c r="B226">
        <v>2019</v>
      </c>
      <c r="C226" t="s">
        <v>38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t="s">
        <v>118</v>
      </c>
      <c r="V226">
        <v>139.69999999999999</v>
      </c>
      <c r="W226">
        <v>143.80000000000001</v>
      </c>
      <c r="X226">
        <v>146.19999999999999</v>
      </c>
      <c r="Y226">
        <v>124.6</v>
      </c>
      <c r="Z226">
        <v>137.69999999999999</v>
      </c>
      <c r="AA226">
        <v>150.30000000000001</v>
      </c>
      <c r="AB226">
        <v>133.4</v>
      </c>
      <c r="AC226">
        <v>137.69999999999999</v>
      </c>
      <c r="AD226">
        <v>140.4</v>
      </c>
    </row>
    <row r="227" spans="1:30">
      <c r="A227" t="s">
        <v>30</v>
      </c>
      <c r="B227">
        <v>2019</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t="s">
        <v>33</v>
      </c>
      <c r="B228">
        <v>2019</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t="s">
        <v>119</v>
      </c>
      <c r="V228">
        <v>129.4</v>
      </c>
      <c r="W228">
        <v>137.19999999999999</v>
      </c>
      <c r="X228">
        <v>139.80000000000001</v>
      </c>
      <c r="Y228">
        <v>120.1</v>
      </c>
      <c r="Z228">
        <v>134</v>
      </c>
      <c r="AA228">
        <v>148</v>
      </c>
      <c r="AB228">
        <v>132.6</v>
      </c>
      <c r="AC228">
        <v>133.30000000000001</v>
      </c>
      <c r="AD228">
        <v>141.5</v>
      </c>
    </row>
    <row r="229" spans="1:30">
      <c r="A229" t="s">
        <v>35</v>
      </c>
      <c r="B229">
        <v>2019</v>
      </c>
      <c r="C229" t="s">
        <v>41</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t="s">
        <v>119</v>
      </c>
      <c r="V229">
        <v>140.30000000000001</v>
      </c>
      <c r="W229">
        <v>143.69999999999999</v>
      </c>
      <c r="X229">
        <v>146.9</v>
      </c>
      <c r="Y229">
        <v>124.9</v>
      </c>
      <c r="Z229">
        <v>139.19999999999999</v>
      </c>
      <c r="AA229">
        <v>151.6</v>
      </c>
      <c r="AB229">
        <v>133.4</v>
      </c>
      <c r="AC229">
        <v>138.19999999999999</v>
      </c>
      <c r="AD229">
        <v>142</v>
      </c>
    </row>
    <row r="230" spans="1:30">
      <c r="A230" t="s">
        <v>30</v>
      </c>
      <c r="B230">
        <v>2019</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t="s">
        <v>33</v>
      </c>
      <c r="B231">
        <v>2019</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t="s">
        <v>120</v>
      </c>
      <c r="V231">
        <v>130.5</v>
      </c>
      <c r="W231">
        <v>137.4</v>
      </c>
      <c r="X231">
        <v>140.30000000000001</v>
      </c>
      <c r="Y231">
        <v>119.6</v>
      </c>
      <c r="Z231">
        <v>134.30000000000001</v>
      </c>
      <c r="AA231">
        <v>148.9</v>
      </c>
      <c r="AB231">
        <v>133.69999999999999</v>
      </c>
      <c r="AC231">
        <v>133.6</v>
      </c>
      <c r="AD231">
        <v>142.1</v>
      </c>
    </row>
    <row r="232" spans="1:30">
      <c r="A232" t="s">
        <v>35</v>
      </c>
      <c r="B232">
        <v>2019</v>
      </c>
      <c r="C232" t="s">
        <v>42</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t="s">
        <v>120</v>
      </c>
      <c r="V232">
        <v>141.19999999999999</v>
      </c>
      <c r="W232">
        <v>143.80000000000001</v>
      </c>
      <c r="X232">
        <v>147.4</v>
      </c>
      <c r="Y232">
        <v>124.6</v>
      </c>
      <c r="Z232">
        <v>139.6</v>
      </c>
      <c r="AA232">
        <v>152.5</v>
      </c>
      <c r="AB232">
        <v>134.30000000000001</v>
      </c>
      <c r="AC232">
        <v>138.6</v>
      </c>
      <c r="AD232">
        <v>142.9</v>
      </c>
    </row>
    <row r="233" spans="1:30">
      <c r="A233" t="s">
        <v>30</v>
      </c>
      <c r="B233">
        <v>2019</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t="s">
        <v>33</v>
      </c>
      <c r="B234">
        <v>2019</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t="s">
        <v>121</v>
      </c>
      <c r="V234">
        <v>127</v>
      </c>
      <c r="W234">
        <v>137.69999999999999</v>
      </c>
      <c r="X234">
        <v>140.80000000000001</v>
      </c>
      <c r="Y234">
        <v>120.6</v>
      </c>
      <c r="Z234">
        <v>135</v>
      </c>
      <c r="AA234">
        <v>150.4</v>
      </c>
      <c r="AB234">
        <v>135.1</v>
      </c>
      <c r="AC234">
        <v>134.5</v>
      </c>
      <c r="AD234">
        <v>143.30000000000001</v>
      </c>
    </row>
    <row r="235" spans="1:30">
      <c r="A235" t="s">
        <v>35</v>
      </c>
      <c r="B235">
        <v>2019</v>
      </c>
      <c r="C235" t="s">
        <v>44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t="s">
        <v>121</v>
      </c>
      <c r="V235">
        <v>139.30000000000001</v>
      </c>
      <c r="W235">
        <v>144.19999999999999</v>
      </c>
      <c r="X235">
        <v>147.9</v>
      </c>
      <c r="Y235">
        <v>125.6</v>
      </c>
      <c r="Z235">
        <v>140.5</v>
      </c>
      <c r="AA235">
        <v>154</v>
      </c>
      <c r="AB235">
        <v>135.69999999999999</v>
      </c>
      <c r="AC235">
        <v>139.5</v>
      </c>
      <c r="AD235">
        <v>144.19999999999999</v>
      </c>
    </row>
    <row r="236" spans="1:30">
      <c r="A236" t="s">
        <v>30</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t="s">
        <v>33</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t="s">
        <v>122</v>
      </c>
      <c r="V237">
        <v>125.5</v>
      </c>
      <c r="W237">
        <v>138.1</v>
      </c>
      <c r="X237">
        <v>141.5</v>
      </c>
      <c r="Y237">
        <v>120.8</v>
      </c>
      <c r="Z237">
        <v>135.4</v>
      </c>
      <c r="AA237">
        <v>151.5</v>
      </c>
      <c r="AB237">
        <v>137.80000000000001</v>
      </c>
      <c r="AC237">
        <v>135.30000000000001</v>
      </c>
      <c r="AD237">
        <v>144.19999999999999</v>
      </c>
    </row>
    <row r="238" spans="1:30">
      <c r="A238" t="s">
        <v>35</v>
      </c>
      <c r="B238">
        <v>2019</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t="s">
        <v>122</v>
      </c>
      <c r="V238">
        <v>138.5</v>
      </c>
      <c r="W238">
        <v>144.5</v>
      </c>
      <c r="X238">
        <v>148.5</v>
      </c>
      <c r="Y238">
        <v>125.8</v>
      </c>
      <c r="Z238">
        <v>140.9</v>
      </c>
      <c r="AA238">
        <v>154.9</v>
      </c>
      <c r="AB238">
        <v>138.4</v>
      </c>
      <c r="AC238">
        <v>140.19999999999999</v>
      </c>
      <c r="AD238">
        <v>145</v>
      </c>
    </row>
    <row r="239" spans="1:30">
      <c r="A239" t="s">
        <v>30</v>
      </c>
      <c r="B239">
        <v>2019</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t="s">
        <v>33</v>
      </c>
      <c r="B240">
        <v>2019</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t="s">
        <v>123</v>
      </c>
      <c r="V240">
        <v>126.6</v>
      </c>
      <c r="W240">
        <v>138.30000000000001</v>
      </c>
      <c r="X240">
        <v>141.9</v>
      </c>
      <c r="Y240">
        <v>121.2</v>
      </c>
      <c r="Z240">
        <v>135.9</v>
      </c>
      <c r="AA240">
        <v>151.6</v>
      </c>
      <c r="AB240">
        <v>139</v>
      </c>
      <c r="AC240">
        <v>135.69999999999999</v>
      </c>
      <c r="AD240">
        <v>144.69999999999999</v>
      </c>
    </row>
    <row r="241" spans="1:30">
      <c r="A241" t="s">
        <v>35</v>
      </c>
      <c r="B241">
        <v>2019</v>
      </c>
      <c r="C241" t="s">
        <v>48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t="s">
        <v>123</v>
      </c>
      <c r="V241">
        <v>139.19999999999999</v>
      </c>
      <c r="W241">
        <v>144.6</v>
      </c>
      <c r="X241">
        <v>149</v>
      </c>
      <c r="Y241">
        <v>126.1</v>
      </c>
      <c r="Z241">
        <v>141.30000000000001</v>
      </c>
      <c r="AA241">
        <v>155.19999999999999</v>
      </c>
      <c r="AB241">
        <v>139.69999999999999</v>
      </c>
      <c r="AC241">
        <v>140.69999999999999</v>
      </c>
      <c r="AD241">
        <v>145.80000000000001</v>
      </c>
    </row>
    <row r="242" spans="1:30">
      <c r="A242" t="s">
        <v>30</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t="s">
        <v>33</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t="s">
        <v>124</v>
      </c>
      <c r="V243">
        <v>128.9</v>
      </c>
      <c r="W243">
        <v>138.69999999999999</v>
      </c>
      <c r="X243">
        <v>142.4</v>
      </c>
      <c r="Y243">
        <v>121.5</v>
      </c>
      <c r="Z243">
        <v>136.19999999999999</v>
      </c>
      <c r="AA243">
        <v>151.69999999999999</v>
      </c>
      <c r="AB243">
        <v>139.5</v>
      </c>
      <c r="AC243">
        <v>136</v>
      </c>
      <c r="AD243">
        <v>146</v>
      </c>
    </row>
    <row r="244" spans="1:30">
      <c r="A244" t="s">
        <v>35</v>
      </c>
      <c r="B244">
        <v>2019</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t="s">
        <v>124</v>
      </c>
      <c r="V244">
        <v>140.6</v>
      </c>
      <c r="W244">
        <v>145</v>
      </c>
      <c r="X244">
        <v>149.4</v>
      </c>
      <c r="Y244">
        <v>126.3</v>
      </c>
      <c r="Z244">
        <v>141.69999999999999</v>
      </c>
      <c r="AA244">
        <v>155.4</v>
      </c>
      <c r="AB244">
        <v>140</v>
      </c>
      <c r="AC244">
        <v>141</v>
      </c>
      <c r="AD244">
        <v>147.19999999999999</v>
      </c>
    </row>
    <row r="245" spans="1:30">
      <c r="A245" t="s">
        <v>30</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t="s">
        <v>33</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t="s">
        <v>125</v>
      </c>
      <c r="V246">
        <v>132.19999999999999</v>
      </c>
      <c r="W246">
        <v>139.1</v>
      </c>
      <c r="X246">
        <v>142.80000000000001</v>
      </c>
      <c r="Y246">
        <v>121.7</v>
      </c>
      <c r="Z246">
        <v>136.69999999999999</v>
      </c>
      <c r="AA246">
        <v>151.80000000000001</v>
      </c>
      <c r="AB246">
        <v>139.80000000000001</v>
      </c>
      <c r="AC246">
        <v>136.30000000000001</v>
      </c>
      <c r="AD246">
        <v>147</v>
      </c>
    </row>
    <row r="247" spans="1:30">
      <c r="A247" t="s">
        <v>35</v>
      </c>
      <c r="B247">
        <v>2019</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t="s">
        <v>125</v>
      </c>
      <c r="V247">
        <v>142.30000000000001</v>
      </c>
      <c r="W247">
        <v>145.30000000000001</v>
      </c>
      <c r="X247">
        <v>149.9</v>
      </c>
      <c r="Y247">
        <v>126.6</v>
      </c>
      <c r="Z247">
        <v>142.1</v>
      </c>
      <c r="AA247">
        <v>155.5</v>
      </c>
      <c r="AB247">
        <v>140.30000000000001</v>
      </c>
      <c r="AC247">
        <v>141.30000000000001</v>
      </c>
      <c r="AD247">
        <v>148.6</v>
      </c>
    </row>
    <row r="248" spans="1:30">
      <c r="A248" t="s">
        <v>30</v>
      </c>
      <c r="B248">
        <v>2019</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t="s">
        <v>33</v>
      </c>
      <c r="B249">
        <v>2019</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t="s">
        <v>126</v>
      </c>
      <c r="V249">
        <v>133.6</v>
      </c>
      <c r="W249">
        <v>139.80000000000001</v>
      </c>
      <c r="X249">
        <v>143.19999999999999</v>
      </c>
      <c r="Y249">
        <v>125.2</v>
      </c>
      <c r="Z249">
        <v>136.80000000000001</v>
      </c>
      <c r="AA249">
        <v>151.9</v>
      </c>
      <c r="AB249">
        <v>140.19999999999999</v>
      </c>
      <c r="AC249">
        <v>137.69999999999999</v>
      </c>
      <c r="AD249">
        <v>148.30000000000001</v>
      </c>
    </row>
    <row r="250" spans="1:30">
      <c r="A250" t="s">
        <v>35</v>
      </c>
      <c r="B250">
        <v>2019</v>
      </c>
      <c r="C250" t="s">
        <v>55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t="s">
        <v>126</v>
      </c>
      <c r="V250">
        <v>143.69999999999999</v>
      </c>
      <c r="W250">
        <v>145.80000000000001</v>
      </c>
      <c r="X250">
        <v>150.4</v>
      </c>
      <c r="Y250">
        <v>129.80000000000001</v>
      </c>
      <c r="Z250">
        <v>142.30000000000001</v>
      </c>
      <c r="AA250">
        <v>155.69999999999999</v>
      </c>
      <c r="AB250">
        <v>140.4</v>
      </c>
      <c r="AC250">
        <v>142.5</v>
      </c>
      <c r="AD250">
        <v>150.4</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t="s">
        <v>127</v>
      </c>
      <c r="V252">
        <v>135.1</v>
      </c>
      <c r="W252">
        <v>140.1</v>
      </c>
      <c r="X252">
        <v>143.80000000000001</v>
      </c>
      <c r="Y252">
        <v>126.1</v>
      </c>
      <c r="Z252">
        <v>137.19999999999999</v>
      </c>
      <c r="AA252">
        <v>152.1</v>
      </c>
      <c r="AB252">
        <v>142.1</v>
      </c>
      <c r="AC252">
        <v>138.4</v>
      </c>
      <c r="AD252">
        <v>148.19999999999999</v>
      </c>
    </row>
    <row r="253" spans="1:30">
      <c r="A253" t="s">
        <v>35</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t="s">
        <v>127</v>
      </c>
      <c r="V253">
        <v>144.6</v>
      </c>
      <c r="W253">
        <v>146.19999999999999</v>
      </c>
      <c r="X253">
        <v>151.19999999999999</v>
      </c>
      <c r="Y253">
        <v>130.9</v>
      </c>
      <c r="Z253">
        <v>142.80000000000001</v>
      </c>
      <c r="AA253">
        <v>156.1</v>
      </c>
      <c r="AB253">
        <v>142.30000000000001</v>
      </c>
      <c r="AC253">
        <v>143.4</v>
      </c>
      <c r="AD253">
        <v>150.19999999999999</v>
      </c>
    </row>
    <row r="254" spans="1:30">
      <c r="A254" t="s">
        <v>30</v>
      </c>
      <c r="B254">
        <v>2020</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t="s">
        <v>33</v>
      </c>
      <c r="B255">
        <v>2020</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t="s">
        <v>128</v>
      </c>
      <c r="V255">
        <v>138.9</v>
      </c>
      <c r="W255">
        <v>140.4</v>
      </c>
      <c r="X255">
        <v>144.4</v>
      </c>
      <c r="Y255">
        <v>125.2</v>
      </c>
      <c r="Z255">
        <v>137.69999999999999</v>
      </c>
      <c r="AA255">
        <v>152.19999999999999</v>
      </c>
      <c r="AB255">
        <v>143.5</v>
      </c>
      <c r="AC255">
        <v>138.4</v>
      </c>
      <c r="AD255">
        <v>147.69999999999999</v>
      </c>
    </row>
    <row r="256" spans="1:30">
      <c r="A256" t="s">
        <v>35</v>
      </c>
      <c r="B256">
        <v>2020</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t="s">
        <v>128</v>
      </c>
      <c r="V256">
        <v>147.19999999999999</v>
      </c>
      <c r="W256">
        <v>146.4</v>
      </c>
      <c r="X256">
        <v>151.69999999999999</v>
      </c>
      <c r="Y256">
        <v>130.30000000000001</v>
      </c>
      <c r="Z256">
        <v>143.19999999999999</v>
      </c>
      <c r="AA256">
        <v>156.19999999999999</v>
      </c>
      <c r="AB256">
        <v>143.4</v>
      </c>
      <c r="AC256">
        <v>143.6</v>
      </c>
      <c r="AD256">
        <v>149.1</v>
      </c>
    </row>
    <row r="257" spans="1:30">
      <c r="A257" t="s">
        <v>30</v>
      </c>
      <c r="B257">
        <v>2020</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t="s">
        <v>33</v>
      </c>
      <c r="B258">
        <v>2020</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t="s">
        <v>129</v>
      </c>
      <c r="V258">
        <v>141.4</v>
      </c>
      <c r="W258">
        <v>140.80000000000001</v>
      </c>
      <c r="X258">
        <v>145</v>
      </c>
      <c r="Y258">
        <v>124.6</v>
      </c>
      <c r="Z258">
        <v>137.9</v>
      </c>
      <c r="AA258">
        <v>152.5</v>
      </c>
      <c r="AB258">
        <v>145.30000000000001</v>
      </c>
      <c r="AC258">
        <v>138.69999999999999</v>
      </c>
      <c r="AD258">
        <v>147.30000000000001</v>
      </c>
    </row>
    <row r="259" spans="1:30">
      <c r="A259" t="s">
        <v>35</v>
      </c>
      <c r="B259">
        <v>2020</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t="s">
        <v>129</v>
      </c>
      <c r="V259">
        <v>148.9</v>
      </c>
      <c r="W259">
        <v>146.4</v>
      </c>
      <c r="X259">
        <v>152.30000000000001</v>
      </c>
      <c r="Y259">
        <v>129.9</v>
      </c>
      <c r="Z259">
        <v>143.69999999999999</v>
      </c>
      <c r="AA259">
        <v>156.1</v>
      </c>
      <c r="AB259">
        <v>145.19999999999999</v>
      </c>
      <c r="AC259">
        <v>143.80000000000001</v>
      </c>
      <c r="AD259">
        <v>148.6</v>
      </c>
    </row>
    <row r="260" spans="1:30">
      <c r="A260" t="s">
        <v>30</v>
      </c>
      <c r="B260">
        <v>2020</v>
      </c>
      <c r="C260" t="s">
        <v>39</v>
      </c>
      <c r="D260">
        <v>147.19999999999999</v>
      </c>
      <c r="F260">
        <v>146.9</v>
      </c>
      <c r="G260">
        <v>155.6</v>
      </c>
      <c r="H260">
        <v>137.1</v>
      </c>
      <c r="I260">
        <v>147.30000000000001</v>
      </c>
      <c r="J260">
        <v>162.69999999999999</v>
      </c>
      <c r="K260">
        <v>150.19999999999999</v>
      </c>
      <c r="L260">
        <v>119.8</v>
      </c>
      <c r="M260">
        <v>158.69999999999999</v>
      </c>
      <c r="N260">
        <v>139.19999999999999</v>
      </c>
      <c r="P260">
        <v>150.1</v>
      </c>
      <c r="U260" t="s">
        <v>32</v>
      </c>
      <c r="V260">
        <v>148.4</v>
      </c>
      <c r="X260">
        <v>154.30000000000001</v>
      </c>
    </row>
    <row r="261" spans="1:30">
      <c r="A261" t="s">
        <v>33</v>
      </c>
      <c r="B261">
        <v>2020</v>
      </c>
      <c r="C261" t="s">
        <v>39</v>
      </c>
      <c r="D261">
        <v>151.80000000000001</v>
      </c>
      <c r="F261">
        <v>151.9</v>
      </c>
      <c r="G261">
        <v>155.5</v>
      </c>
      <c r="H261">
        <v>131.6</v>
      </c>
      <c r="I261">
        <v>152.9</v>
      </c>
      <c r="J261">
        <v>180</v>
      </c>
      <c r="K261">
        <v>150.80000000000001</v>
      </c>
      <c r="L261">
        <v>121.2</v>
      </c>
      <c r="M261">
        <v>154</v>
      </c>
      <c r="N261">
        <v>133.5</v>
      </c>
      <c r="P261">
        <v>153.5</v>
      </c>
      <c r="U261" t="s">
        <v>130</v>
      </c>
      <c r="V261">
        <v>137.1</v>
      </c>
      <c r="X261">
        <v>144.80000000000001</v>
      </c>
    </row>
    <row r="262" spans="1:30">
      <c r="A262" t="s">
        <v>35</v>
      </c>
      <c r="B262">
        <v>2020</v>
      </c>
      <c r="C262" t="s">
        <v>39</v>
      </c>
      <c r="D262">
        <v>148.69999999999999</v>
      </c>
      <c r="F262">
        <v>148.80000000000001</v>
      </c>
      <c r="G262">
        <v>155.6</v>
      </c>
      <c r="H262">
        <v>135.1</v>
      </c>
      <c r="I262">
        <v>149.9</v>
      </c>
      <c r="J262">
        <v>168.6</v>
      </c>
      <c r="K262">
        <v>150.4</v>
      </c>
      <c r="L262">
        <v>120.3</v>
      </c>
      <c r="M262">
        <v>157.1</v>
      </c>
      <c r="N262">
        <v>136.80000000000001</v>
      </c>
      <c r="P262">
        <v>151.4</v>
      </c>
      <c r="U262" t="s">
        <v>130</v>
      </c>
      <c r="V262">
        <v>144.1</v>
      </c>
      <c r="X262">
        <v>150.69999999999999</v>
      </c>
    </row>
    <row r="263" spans="1:30">
      <c r="A263" t="s">
        <v>30</v>
      </c>
      <c r="B263">
        <v>2020</v>
      </c>
      <c r="C263" t="s">
        <v>41</v>
      </c>
      <c r="U263" t="s">
        <v>32</v>
      </c>
    </row>
    <row r="264" spans="1:30">
      <c r="A264" t="s">
        <v>33</v>
      </c>
      <c r="B264">
        <v>2020</v>
      </c>
      <c r="C264" t="s">
        <v>41</v>
      </c>
      <c r="U264" t="s">
        <v>32</v>
      </c>
    </row>
    <row r="265" spans="1:30">
      <c r="A265" t="s">
        <v>35</v>
      </c>
      <c r="B265">
        <v>2020</v>
      </c>
      <c r="C265" t="s">
        <v>41</v>
      </c>
      <c r="U265" t="s">
        <v>32</v>
      </c>
    </row>
    <row r="266" spans="1:30">
      <c r="A266" t="s">
        <v>30</v>
      </c>
      <c r="B266">
        <v>2020</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t="s">
        <v>33</v>
      </c>
      <c r="B267">
        <v>2020</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t="s">
        <v>131</v>
      </c>
      <c r="V267">
        <v>137.1</v>
      </c>
      <c r="W267">
        <v>140.4</v>
      </c>
      <c r="X267">
        <v>148.1</v>
      </c>
      <c r="Y267">
        <v>129.30000000000001</v>
      </c>
      <c r="Z267">
        <v>144.5</v>
      </c>
      <c r="AA267">
        <v>152.5</v>
      </c>
      <c r="AB267">
        <v>152.19999999999999</v>
      </c>
      <c r="AC267">
        <v>142</v>
      </c>
      <c r="AD267">
        <v>150.80000000000001</v>
      </c>
    </row>
    <row r="268" spans="1:30">
      <c r="A268" t="s">
        <v>35</v>
      </c>
      <c r="B268">
        <v>2020</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t="s">
        <v>131</v>
      </c>
      <c r="V268">
        <v>141.9</v>
      </c>
      <c r="W268">
        <v>146.4</v>
      </c>
      <c r="X268">
        <v>154.4</v>
      </c>
      <c r="Y268">
        <v>135</v>
      </c>
      <c r="Z268">
        <v>148.30000000000001</v>
      </c>
      <c r="AA268">
        <v>156.4</v>
      </c>
      <c r="AB268">
        <v>151.6</v>
      </c>
      <c r="AC268">
        <v>147</v>
      </c>
      <c r="AD268">
        <v>151.80000000000001</v>
      </c>
    </row>
    <row r="269" spans="1:30">
      <c r="A269" t="s">
        <v>30</v>
      </c>
      <c r="B269">
        <v>2020</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t="s">
        <v>33</v>
      </c>
      <c r="B270">
        <v>2020</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t="s">
        <v>131</v>
      </c>
      <c r="V270">
        <v>137.1</v>
      </c>
      <c r="W270">
        <v>140.4</v>
      </c>
      <c r="X270">
        <v>148.1</v>
      </c>
      <c r="Y270">
        <v>129.30000000000001</v>
      </c>
      <c r="Z270">
        <v>144.5</v>
      </c>
      <c r="AA270">
        <v>152.5</v>
      </c>
      <c r="AB270">
        <v>152.19999999999999</v>
      </c>
      <c r="AC270">
        <v>142</v>
      </c>
      <c r="AD270">
        <v>150.80000000000001</v>
      </c>
    </row>
    <row r="271" spans="1:30">
      <c r="A271" t="s">
        <v>35</v>
      </c>
      <c r="B271">
        <v>2020</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t="s">
        <v>131</v>
      </c>
      <c r="V271">
        <v>141.9</v>
      </c>
      <c r="W271">
        <v>146.4</v>
      </c>
      <c r="X271">
        <v>154.4</v>
      </c>
      <c r="Y271">
        <v>135</v>
      </c>
      <c r="Z271">
        <v>148.30000000000001</v>
      </c>
      <c r="AA271">
        <v>156.4</v>
      </c>
      <c r="AB271">
        <v>151.6</v>
      </c>
      <c r="AC271">
        <v>147</v>
      </c>
      <c r="AD271">
        <v>151.80000000000001</v>
      </c>
    </row>
    <row r="272" spans="1:30">
      <c r="A272" t="s">
        <v>30</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t="s">
        <v>33</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t="s">
        <v>132</v>
      </c>
      <c r="V273">
        <v>138.30000000000001</v>
      </c>
      <c r="W273">
        <v>144.5</v>
      </c>
      <c r="X273">
        <v>148.69999999999999</v>
      </c>
      <c r="Y273">
        <v>133.9</v>
      </c>
      <c r="Z273">
        <v>141.19999999999999</v>
      </c>
      <c r="AA273">
        <v>155.5</v>
      </c>
      <c r="AB273">
        <v>155.19999999999999</v>
      </c>
      <c r="AC273">
        <v>144.80000000000001</v>
      </c>
      <c r="AD273">
        <v>152.9</v>
      </c>
    </row>
    <row r="274" spans="1:30">
      <c r="A274" t="s">
        <v>35</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t="s">
        <v>132</v>
      </c>
      <c r="V274">
        <v>143</v>
      </c>
      <c r="W274">
        <v>148.4</v>
      </c>
      <c r="X274">
        <v>155</v>
      </c>
      <c r="Y274">
        <v>138.5</v>
      </c>
      <c r="Z274">
        <v>146</v>
      </c>
      <c r="AA274">
        <v>158.5</v>
      </c>
      <c r="AB274">
        <v>154.30000000000001</v>
      </c>
      <c r="AC274">
        <v>149</v>
      </c>
      <c r="AD274">
        <v>153.9</v>
      </c>
    </row>
    <row r="275" spans="1:30">
      <c r="A275" t="s">
        <v>30</v>
      </c>
      <c r="B275">
        <v>2020</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t="s">
        <v>33</v>
      </c>
      <c r="B276">
        <v>2020</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t="s">
        <v>133</v>
      </c>
      <c r="V276">
        <v>137.19999999999999</v>
      </c>
      <c r="W276">
        <v>145.4</v>
      </c>
      <c r="X276">
        <v>150</v>
      </c>
      <c r="Y276">
        <v>135.1</v>
      </c>
      <c r="Z276">
        <v>141.80000000000001</v>
      </c>
      <c r="AA276">
        <v>154.9</v>
      </c>
      <c r="AB276">
        <v>159.80000000000001</v>
      </c>
      <c r="AC276">
        <v>146</v>
      </c>
      <c r="AD276">
        <v>154</v>
      </c>
    </row>
    <row r="277" spans="1:30">
      <c r="A277" t="s">
        <v>35</v>
      </c>
      <c r="B277">
        <v>2020</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t="s">
        <v>133</v>
      </c>
      <c r="V277">
        <v>142.9</v>
      </c>
      <c r="W277">
        <v>148.69999999999999</v>
      </c>
      <c r="X277">
        <v>155.6</v>
      </c>
      <c r="Y277">
        <v>139.6</v>
      </c>
      <c r="Z277">
        <v>146.6</v>
      </c>
      <c r="AA277">
        <v>157.5</v>
      </c>
      <c r="AB277">
        <v>158.4</v>
      </c>
      <c r="AC277">
        <v>150</v>
      </c>
      <c r="AD277">
        <v>154.69999999999999</v>
      </c>
    </row>
    <row r="278" spans="1:30">
      <c r="A278" t="s">
        <v>30</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t="s">
        <v>33</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t="s">
        <v>134</v>
      </c>
      <c r="V279">
        <v>137.1</v>
      </c>
      <c r="W279">
        <v>145.1</v>
      </c>
      <c r="X279">
        <v>151</v>
      </c>
      <c r="Y279">
        <v>135.4</v>
      </c>
      <c r="Z279">
        <v>142</v>
      </c>
      <c r="AA279">
        <v>155.69999999999999</v>
      </c>
      <c r="AB279">
        <v>158.1</v>
      </c>
      <c r="AC279">
        <v>146.19999999999999</v>
      </c>
      <c r="AD279">
        <v>155.19999999999999</v>
      </c>
    </row>
    <row r="280" spans="1:30">
      <c r="A280" t="s">
        <v>35</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t="s">
        <v>134</v>
      </c>
      <c r="V280">
        <v>143.1</v>
      </c>
      <c r="W280">
        <v>148.69999999999999</v>
      </c>
      <c r="X280">
        <v>156.30000000000001</v>
      </c>
      <c r="Y280">
        <v>140.6</v>
      </c>
      <c r="Z280">
        <v>146.5</v>
      </c>
      <c r="AA280">
        <v>158.5</v>
      </c>
      <c r="AB280">
        <v>157</v>
      </c>
      <c r="AC280">
        <v>150.4</v>
      </c>
      <c r="AD280">
        <v>156.4</v>
      </c>
    </row>
    <row r="281" spans="1:30">
      <c r="A281" t="s">
        <v>30</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t="s">
        <v>33</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t="s">
        <v>135</v>
      </c>
      <c r="V282">
        <v>137.30000000000001</v>
      </c>
      <c r="W282">
        <v>145.1</v>
      </c>
      <c r="X282">
        <v>152</v>
      </c>
      <c r="Y282">
        <v>135.19999999999999</v>
      </c>
      <c r="Z282">
        <v>144.4</v>
      </c>
      <c r="AA282">
        <v>156.4</v>
      </c>
      <c r="AB282">
        <v>157.9</v>
      </c>
      <c r="AC282">
        <v>146.6</v>
      </c>
      <c r="AD282">
        <v>156.69999999999999</v>
      </c>
    </row>
    <row r="283" spans="1:30">
      <c r="A283" t="s">
        <v>35</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t="s">
        <v>135</v>
      </c>
      <c r="V283">
        <v>143.6</v>
      </c>
      <c r="W283">
        <v>149.19999999999999</v>
      </c>
      <c r="X283">
        <v>157.19999999999999</v>
      </c>
      <c r="Y283">
        <v>140.4</v>
      </c>
      <c r="Z283">
        <v>148.4</v>
      </c>
      <c r="AA283">
        <v>158.6</v>
      </c>
      <c r="AB283">
        <v>156.9</v>
      </c>
      <c r="AC283">
        <v>150.69999999999999</v>
      </c>
      <c r="AD283">
        <v>158.4</v>
      </c>
    </row>
    <row r="284" spans="1:30">
      <c r="A284" t="s">
        <v>30</v>
      </c>
      <c r="B284">
        <v>2020</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t="s">
        <v>33</v>
      </c>
      <c r="B285">
        <v>2020</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t="s">
        <v>136</v>
      </c>
      <c r="V285">
        <v>137.9</v>
      </c>
      <c r="W285">
        <v>145.5</v>
      </c>
      <c r="X285">
        <v>152.9</v>
      </c>
      <c r="Y285">
        <v>135.5</v>
      </c>
      <c r="Z285">
        <v>144.30000000000001</v>
      </c>
      <c r="AA285">
        <v>156.9</v>
      </c>
      <c r="AB285">
        <v>157.9</v>
      </c>
      <c r="AC285">
        <v>146.9</v>
      </c>
      <c r="AD285">
        <v>156.9</v>
      </c>
    </row>
    <row r="286" spans="1:30">
      <c r="A286" t="s">
        <v>35</v>
      </c>
      <c r="B286">
        <v>2020</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t="s">
        <v>136</v>
      </c>
      <c r="V286">
        <v>144.6</v>
      </c>
      <c r="W286">
        <v>149.69999999999999</v>
      </c>
      <c r="X286">
        <v>158.30000000000001</v>
      </c>
      <c r="Y286">
        <v>140.69999999999999</v>
      </c>
      <c r="Z286">
        <v>148.5</v>
      </c>
      <c r="AA286">
        <v>159.4</v>
      </c>
      <c r="AB286">
        <v>157.1</v>
      </c>
      <c r="AC286">
        <v>151.19999999999999</v>
      </c>
      <c r="AD286">
        <v>158.9</v>
      </c>
    </row>
    <row r="287" spans="1:30">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t="s">
        <v>137</v>
      </c>
      <c r="V288">
        <v>142.9</v>
      </c>
      <c r="W288">
        <v>145.69999999999999</v>
      </c>
      <c r="X288">
        <v>154.1</v>
      </c>
      <c r="Y288">
        <v>136.9</v>
      </c>
      <c r="Z288">
        <v>145.4</v>
      </c>
      <c r="AA288">
        <v>156.1</v>
      </c>
      <c r="AB288">
        <v>157.69999999999999</v>
      </c>
      <c r="AC288">
        <v>147.6</v>
      </c>
      <c r="AD288">
        <v>156</v>
      </c>
    </row>
    <row r="289" spans="1:30">
      <c r="A289" t="s">
        <v>35</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t="s">
        <v>137</v>
      </c>
      <c r="V289">
        <v>147.9</v>
      </c>
      <c r="W289">
        <v>150</v>
      </c>
      <c r="X289">
        <v>159.30000000000001</v>
      </c>
      <c r="Y289">
        <v>141.9</v>
      </c>
      <c r="Z289">
        <v>149.6</v>
      </c>
      <c r="AA289">
        <v>159.19999999999999</v>
      </c>
      <c r="AB289">
        <v>156.80000000000001</v>
      </c>
      <c r="AC289">
        <v>151.9</v>
      </c>
      <c r="AD289">
        <v>157.30000000000001</v>
      </c>
    </row>
    <row r="290" spans="1:30">
      <c r="A290" t="s">
        <v>30</v>
      </c>
      <c r="B290">
        <v>2021</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t="s">
        <v>33</v>
      </c>
      <c r="B291">
        <v>2021</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t="s">
        <v>138</v>
      </c>
      <c r="V291">
        <v>149.1</v>
      </c>
      <c r="W291">
        <v>146.5</v>
      </c>
      <c r="X291">
        <v>156.30000000000001</v>
      </c>
      <c r="Y291">
        <v>140.5</v>
      </c>
      <c r="Z291">
        <v>147.30000000000001</v>
      </c>
      <c r="AA291">
        <v>156.6</v>
      </c>
      <c r="AB291">
        <v>156.69999999999999</v>
      </c>
      <c r="AC291">
        <v>149.30000000000001</v>
      </c>
      <c r="AD291">
        <v>156.5</v>
      </c>
    </row>
    <row r="292" spans="1:30">
      <c r="A292" t="s">
        <v>35</v>
      </c>
      <c r="B292">
        <v>2021</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t="s">
        <v>138</v>
      </c>
      <c r="V292">
        <v>152.4</v>
      </c>
      <c r="W292">
        <v>150.9</v>
      </c>
      <c r="X292">
        <v>161.30000000000001</v>
      </c>
      <c r="Y292">
        <v>145.1</v>
      </c>
      <c r="Z292">
        <v>151.5</v>
      </c>
      <c r="AA292">
        <v>159.5</v>
      </c>
      <c r="AB292">
        <v>155.80000000000001</v>
      </c>
      <c r="AC292">
        <v>153.4</v>
      </c>
      <c r="AD292">
        <v>156.6</v>
      </c>
    </row>
    <row r="293" spans="1:30">
      <c r="A293" t="s">
        <v>30</v>
      </c>
      <c r="B293">
        <v>2021</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139</v>
      </c>
      <c r="V293">
        <v>156</v>
      </c>
      <c r="W293">
        <v>154.80000000000001</v>
      </c>
      <c r="X293">
        <v>164.6</v>
      </c>
      <c r="Y293">
        <v>151.30000000000001</v>
      </c>
      <c r="Z293">
        <v>157.80000000000001</v>
      </c>
      <c r="AA293">
        <v>163.80000000000001</v>
      </c>
      <c r="AB293">
        <v>153.1</v>
      </c>
      <c r="AC293">
        <v>157.30000000000001</v>
      </c>
      <c r="AD293">
        <v>156.69999999999999</v>
      </c>
    </row>
    <row r="294" spans="1:30">
      <c r="A294" t="s">
        <v>33</v>
      </c>
      <c r="B294">
        <v>2021</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t="s">
        <v>140</v>
      </c>
      <c r="V294">
        <v>154.80000000000001</v>
      </c>
      <c r="W294">
        <v>147.19999999999999</v>
      </c>
      <c r="X294">
        <v>156.9</v>
      </c>
      <c r="Y294">
        <v>141.69999999999999</v>
      </c>
      <c r="Z294">
        <v>148.6</v>
      </c>
      <c r="AA294">
        <v>157.6</v>
      </c>
      <c r="AB294">
        <v>154.9</v>
      </c>
      <c r="AC294">
        <v>150</v>
      </c>
      <c r="AD294">
        <v>156.9</v>
      </c>
    </row>
    <row r="295" spans="1:30">
      <c r="A295" t="s">
        <v>35</v>
      </c>
      <c r="B295">
        <v>2021</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t="s">
        <v>140</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t="s">
        <v>30</v>
      </c>
      <c r="B296">
        <v>2021</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139</v>
      </c>
      <c r="V296">
        <v>156</v>
      </c>
      <c r="W296">
        <v>155.5</v>
      </c>
      <c r="X296">
        <v>165.3</v>
      </c>
      <c r="Y296">
        <v>151.69999999999999</v>
      </c>
      <c r="Z296">
        <v>158.6</v>
      </c>
      <c r="AA296">
        <v>164.1</v>
      </c>
      <c r="AB296">
        <v>154.6</v>
      </c>
      <c r="AC296">
        <v>158</v>
      </c>
      <c r="AD296">
        <v>157.6</v>
      </c>
    </row>
    <row r="297" spans="1:30">
      <c r="A297" t="s">
        <v>33</v>
      </c>
      <c r="B297">
        <v>2021</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t="s">
        <v>141</v>
      </c>
      <c r="V297">
        <v>154.9</v>
      </c>
      <c r="W297">
        <v>147.6</v>
      </c>
      <c r="X297">
        <v>157.5</v>
      </c>
      <c r="Y297">
        <v>142.1</v>
      </c>
      <c r="Z297">
        <v>149.1</v>
      </c>
      <c r="AA297">
        <v>157.6</v>
      </c>
      <c r="AB297">
        <v>156.6</v>
      </c>
      <c r="AC297">
        <v>150.5</v>
      </c>
      <c r="AD297">
        <v>158</v>
      </c>
    </row>
    <row r="298" spans="1:30">
      <c r="A298" t="s">
        <v>35</v>
      </c>
      <c r="B298">
        <v>2021</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t="s">
        <v>141</v>
      </c>
      <c r="V298">
        <v>155.6</v>
      </c>
      <c r="W298">
        <v>151.80000000000001</v>
      </c>
      <c r="X298">
        <v>162.30000000000001</v>
      </c>
      <c r="Y298">
        <v>146.6</v>
      </c>
      <c r="Z298">
        <v>153.19999999999999</v>
      </c>
      <c r="AA298">
        <v>160.30000000000001</v>
      </c>
      <c r="AB298">
        <v>155.4</v>
      </c>
      <c r="AC298">
        <v>154.4</v>
      </c>
      <c r="AD298">
        <v>157.80000000000001</v>
      </c>
    </row>
    <row r="299" spans="1:30">
      <c r="A299" t="s">
        <v>30</v>
      </c>
      <c r="B299">
        <v>2021</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t="s">
        <v>33</v>
      </c>
      <c r="B300">
        <v>2021</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t="s">
        <v>142</v>
      </c>
      <c r="V300">
        <v>155.5</v>
      </c>
      <c r="W300">
        <v>150.1</v>
      </c>
      <c r="X300">
        <v>160.4</v>
      </c>
      <c r="Y300">
        <v>145</v>
      </c>
      <c r="Z300">
        <v>152.6</v>
      </c>
      <c r="AA300">
        <v>156.6</v>
      </c>
      <c r="AB300">
        <v>157.5</v>
      </c>
      <c r="AC300">
        <v>152.30000000000001</v>
      </c>
      <c r="AD300">
        <v>159.5</v>
      </c>
    </row>
    <row r="301" spans="1:30">
      <c r="A301" t="s">
        <v>35</v>
      </c>
      <c r="B301">
        <v>2021</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t="s">
        <v>142</v>
      </c>
      <c r="V301">
        <v>159.4</v>
      </c>
      <c r="W301">
        <v>154.69999999999999</v>
      </c>
      <c r="X301">
        <v>165.8</v>
      </c>
      <c r="Y301">
        <v>148.9</v>
      </c>
      <c r="Z301">
        <v>155.80000000000001</v>
      </c>
      <c r="AA301">
        <v>161.19999999999999</v>
      </c>
      <c r="AB301">
        <v>158.6</v>
      </c>
      <c r="AC301">
        <v>156.80000000000001</v>
      </c>
      <c r="AD301">
        <v>160.4</v>
      </c>
    </row>
    <row r="302" spans="1:30">
      <c r="A302" t="s">
        <v>30</v>
      </c>
      <c r="B302">
        <v>2021</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t="s">
        <v>33</v>
      </c>
      <c r="B303">
        <v>2021</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t="s">
        <v>143</v>
      </c>
      <c r="V303">
        <v>156.1</v>
      </c>
      <c r="W303">
        <v>149.80000000000001</v>
      </c>
      <c r="X303">
        <v>160.80000000000001</v>
      </c>
      <c r="Y303">
        <v>147.5</v>
      </c>
      <c r="Z303">
        <v>150.69999999999999</v>
      </c>
      <c r="AA303">
        <v>158.1</v>
      </c>
      <c r="AB303">
        <v>158</v>
      </c>
      <c r="AC303">
        <v>153.4</v>
      </c>
      <c r="AD303">
        <v>160.4</v>
      </c>
    </row>
    <row r="304" spans="1:30">
      <c r="A304" t="s">
        <v>35</v>
      </c>
      <c r="B304">
        <v>2021</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t="s">
        <v>143</v>
      </c>
      <c r="V304">
        <v>159.80000000000001</v>
      </c>
      <c r="W304">
        <v>154.80000000000001</v>
      </c>
      <c r="X304">
        <v>166.3</v>
      </c>
      <c r="Y304">
        <v>150.69999999999999</v>
      </c>
      <c r="Z304">
        <v>154.9</v>
      </c>
      <c r="AA304">
        <v>161.69999999999999</v>
      </c>
      <c r="AB304">
        <v>158.80000000000001</v>
      </c>
      <c r="AC304">
        <v>157.6</v>
      </c>
      <c r="AD304">
        <v>161.30000000000001</v>
      </c>
    </row>
    <row r="305" spans="1:30">
      <c r="A305" t="s">
        <v>30</v>
      </c>
      <c r="B305">
        <v>2021</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t="s">
        <v>33</v>
      </c>
      <c r="B306">
        <v>2021</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t="s">
        <v>144</v>
      </c>
      <c r="V306">
        <v>157.69999999999999</v>
      </c>
      <c r="W306">
        <v>150.69999999999999</v>
      </c>
      <c r="X306">
        <v>161.5</v>
      </c>
      <c r="Y306">
        <v>149.5</v>
      </c>
      <c r="Z306">
        <v>151.19999999999999</v>
      </c>
      <c r="AA306">
        <v>160.30000000000001</v>
      </c>
      <c r="AB306">
        <v>159.6</v>
      </c>
      <c r="AC306">
        <v>155</v>
      </c>
      <c r="AD306">
        <v>161.80000000000001</v>
      </c>
    </row>
    <row r="307" spans="1:30">
      <c r="A307" t="s">
        <v>35</v>
      </c>
      <c r="B307">
        <v>2021</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t="s">
        <v>144</v>
      </c>
      <c r="V307">
        <v>160.69999999999999</v>
      </c>
      <c r="W307">
        <v>155.80000000000001</v>
      </c>
      <c r="X307">
        <v>167</v>
      </c>
      <c r="Y307">
        <v>153.1</v>
      </c>
      <c r="Z307">
        <v>155.30000000000001</v>
      </c>
      <c r="AA307">
        <v>163.19999999999999</v>
      </c>
      <c r="AB307">
        <v>160.1</v>
      </c>
      <c r="AC307">
        <v>159</v>
      </c>
      <c r="AD307">
        <v>162.5</v>
      </c>
    </row>
    <row r="308" spans="1:30">
      <c r="A308" t="s">
        <v>30</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t="s">
        <v>33</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t="s">
        <v>145</v>
      </c>
      <c r="V309">
        <v>160.69999999999999</v>
      </c>
      <c r="W309">
        <v>153.19999999999999</v>
      </c>
      <c r="X309">
        <v>162.80000000000001</v>
      </c>
      <c r="Y309">
        <v>150.4</v>
      </c>
      <c r="Z309">
        <v>153.69999999999999</v>
      </c>
      <c r="AA309">
        <v>160.4</v>
      </c>
      <c r="AB309">
        <v>159.6</v>
      </c>
      <c r="AC309">
        <v>156</v>
      </c>
      <c r="AD309">
        <v>162.30000000000001</v>
      </c>
    </row>
    <row r="310" spans="1:30">
      <c r="A310" t="s">
        <v>35</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t="s">
        <v>145</v>
      </c>
      <c r="V310">
        <v>162.6</v>
      </c>
      <c r="W310">
        <v>157.5</v>
      </c>
      <c r="X310">
        <v>168.4</v>
      </c>
      <c r="Y310">
        <v>154</v>
      </c>
      <c r="Z310">
        <v>157.6</v>
      </c>
      <c r="AA310">
        <v>163.80000000000001</v>
      </c>
      <c r="AB310">
        <v>160</v>
      </c>
      <c r="AC310">
        <v>160</v>
      </c>
      <c r="AD310">
        <v>163.19999999999999</v>
      </c>
    </row>
    <row r="311" spans="1:30">
      <c r="A311" t="s">
        <v>30</v>
      </c>
      <c r="B311">
        <v>2021</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t="s">
        <v>33</v>
      </c>
      <c r="B312">
        <v>2021</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t="s">
        <v>145</v>
      </c>
      <c r="V312">
        <v>160.80000000000001</v>
      </c>
      <c r="W312">
        <v>153.30000000000001</v>
      </c>
      <c r="X312">
        <v>162.80000000000001</v>
      </c>
      <c r="Y312">
        <v>150.5</v>
      </c>
      <c r="Z312">
        <v>153.9</v>
      </c>
      <c r="AA312">
        <v>160.30000000000001</v>
      </c>
      <c r="AB312">
        <v>159.6</v>
      </c>
      <c r="AC312">
        <v>156</v>
      </c>
      <c r="AD312">
        <v>162.30000000000001</v>
      </c>
    </row>
    <row r="313" spans="1:30">
      <c r="A313" t="s">
        <v>35</v>
      </c>
      <c r="B313">
        <v>2021</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t="s">
        <v>145</v>
      </c>
      <c r="V313">
        <v>162.6</v>
      </c>
      <c r="W313">
        <v>157.5</v>
      </c>
      <c r="X313">
        <v>168.4</v>
      </c>
      <c r="Y313">
        <v>154</v>
      </c>
      <c r="Z313">
        <v>157.69999999999999</v>
      </c>
      <c r="AA313">
        <v>163.69999999999999</v>
      </c>
      <c r="AB313">
        <v>160</v>
      </c>
      <c r="AC313">
        <v>160</v>
      </c>
      <c r="AD313">
        <v>163.19999999999999</v>
      </c>
    </row>
    <row r="314" spans="1:30">
      <c r="A314" t="s">
        <v>30</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t="s">
        <v>33</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t="s">
        <v>146</v>
      </c>
      <c r="V315">
        <v>162.19999999999999</v>
      </c>
      <c r="W315">
        <v>154.30000000000001</v>
      </c>
      <c r="X315">
        <v>163.5</v>
      </c>
      <c r="Y315">
        <v>152.19999999999999</v>
      </c>
      <c r="Z315">
        <v>155.1</v>
      </c>
      <c r="AA315">
        <v>160.30000000000001</v>
      </c>
      <c r="AB315">
        <v>160.30000000000001</v>
      </c>
      <c r="AC315">
        <v>157</v>
      </c>
      <c r="AD315">
        <v>164.6</v>
      </c>
    </row>
    <row r="316" spans="1:30">
      <c r="A316" t="s">
        <v>35</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t="s">
        <v>146</v>
      </c>
      <c r="V316">
        <v>164.2</v>
      </c>
      <c r="W316">
        <v>158.4</v>
      </c>
      <c r="X316">
        <v>169.1</v>
      </c>
      <c r="Y316">
        <v>155.69999999999999</v>
      </c>
      <c r="Z316">
        <v>158.6</v>
      </c>
      <c r="AA316">
        <v>163.9</v>
      </c>
      <c r="AB316">
        <v>160.80000000000001</v>
      </c>
      <c r="AC316">
        <v>161</v>
      </c>
      <c r="AD316">
        <v>165.5</v>
      </c>
    </row>
    <row r="317" spans="1:30">
      <c r="A317" t="s">
        <v>30</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t="s">
        <v>33</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t="s">
        <v>147</v>
      </c>
      <c r="V318">
        <v>161.6</v>
      </c>
      <c r="W318">
        <v>155.19999999999999</v>
      </c>
      <c r="X318">
        <v>164.2</v>
      </c>
      <c r="Y318">
        <v>151.19999999999999</v>
      </c>
      <c r="Z318">
        <v>156.69999999999999</v>
      </c>
      <c r="AA318">
        <v>160.80000000000001</v>
      </c>
      <c r="AB318">
        <v>161.80000000000001</v>
      </c>
      <c r="AC318">
        <v>157.30000000000001</v>
      </c>
      <c r="AD318">
        <v>165.6</v>
      </c>
    </row>
    <row r="319" spans="1:30">
      <c r="A319" t="s">
        <v>35</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t="s">
        <v>147</v>
      </c>
      <c r="V319">
        <v>163.9</v>
      </c>
      <c r="W319">
        <v>159.30000000000001</v>
      </c>
      <c r="X319">
        <v>169.9</v>
      </c>
      <c r="Y319">
        <v>154.80000000000001</v>
      </c>
      <c r="Z319">
        <v>159.80000000000001</v>
      </c>
      <c r="AA319">
        <v>164.3</v>
      </c>
      <c r="AB319">
        <v>162.19999999999999</v>
      </c>
      <c r="AC319">
        <v>161.4</v>
      </c>
      <c r="AD319">
        <v>166.7</v>
      </c>
    </row>
    <row r="320" spans="1:30">
      <c r="A320" t="s">
        <v>30</v>
      </c>
      <c r="B320">
        <v>2021</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t="s">
        <v>33</v>
      </c>
      <c r="B321">
        <v>2021</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t="s">
        <v>148</v>
      </c>
      <c r="V321">
        <v>161.69999999999999</v>
      </c>
      <c r="W321">
        <v>156</v>
      </c>
      <c r="X321">
        <v>165.1</v>
      </c>
      <c r="Y321">
        <v>151.80000000000001</v>
      </c>
      <c r="Z321">
        <v>157.6</v>
      </c>
      <c r="AA321">
        <v>160.6</v>
      </c>
      <c r="AB321">
        <v>162.4</v>
      </c>
      <c r="AC321">
        <v>157.80000000000001</v>
      </c>
      <c r="AD321">
        <v>165.2</v>
      </c>
    </row>
    <row r="322" spans="1:30">
      <c r="A322" t="s">
        <v>35</v>
      </c>
      <c r="B322">
        <v>2021</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t="s">
        <v>148</v>
      </c>
      <c r="V322">
        <v>164.1</v>
      </c>
      <c r="W322">
        <v>160.19999999999999</v>
      </c>
      <c r="X322">
        <v>170.6</v>
      </c>
      <c r="Y322">
        <v>155.69999999999999</v>
      </c>
      <c r="Z322">
        <v>160.6</v>
      </c>
      <c r="AA322">
        <v>164.4</v>
      </c>
      <c r="AB322">
        <v>162.6</v>
      </c>
      <c r="AC322">
        <v>162</v>
      </c>
      <c r="AD322">
        <v>166.2</v>
      </c>
    </row>
    <row r="323" spans="1:30">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t="s">
        <v>149</v>
      </c>
      <c r="V324">
        <v>161.6</v>
      </c>
      <c r="W324">
        <v>156.80000000000001</v>
      </c>
      <c r="X324">
        <v>166.1</v>
      </c>
      <c r="Y324">
        <v>152.69999999999999</v>
      </c>
      <c r="Z324">
        <v>158.4</v>
      </c>
      <c r="AA324">
        <v>161</v>
      </c>
      <c r="AB324">
        <v>162.80000000000001</v>
      </c>
      <c r="AC324">
        <v>158.6</v>
      </c>
      <c r="AD324">
        <v>165</v>
      </c>
    </row>
    <row r="325" spans="1:30">
      <c r="A325" t="s">
        <v>35</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t="s">
        <v>149</v>
      </c>
      <c r="V325">
        <v>164.2</v>
      </c>
      <c r="W325">
        <v>161.1</v>
      </c>
      <c r="X325">
        <v>171.4</v>
      </c>
      <c r="Y325">
        <v>156.5</v>
      </c>
      <c r="Z325">
        <v>161.19999999999999</v>
      </c>
      <c r="AA325">
        <v>164.7</v>
      </c>
      <c r="AB325">
        <v>163</v>
      </c>
      <c r="AC325">
        <v>162.69999999999999</v>
      </c>
      <c r="AD325">
        <v>165.7</v>
      </c>
    </row>
    <row r="326" spans="1:30">
      <c r="A326" t="s">
        <v>30</v>
      </c>
      <c r="B326">
        <v>2022</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t="s">
        <v>33</v>
      </c>
      <c r="B327">
        <v>2022</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t="s">
        <v>150</v>
      </c>
      <c r="V327">
        <v>163</v>
      </c>
      <c r="W327">
        <v>157.4</v>
      </c>
      <c r="X327">
        <v>167.2</v>
      </c>
      <c r="Y327">
        <v>153.1</v>
      </c>
      <c r="Z327">
        <v>159.5</v>
      </c>
      <c r="AA327">
        <v>162</v>
      </c>
      <c r="AB327">
        <v>164.2</v>
      </c>
      <c r="AC327">
        <v>159.4</v>
      </c>
      <c r="AD327">
        <v>165.5</v>
      </c>
    </row>
    <row r="328" spans="1:30">
      <c r="A328" t="s">
        <v>35</v>
      </c>
      <c r="B328">
        <v>2022</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t="s">
        <v>150</v>
      </c>
      <c r="V328">
        <v>165.7</v>
      </c>
      <c r="W328">
        <v>161.80000000000001</v>
      </c>
      <c r="X328">
        <v>172.2</v>
      </c>
      <c r="Y328">
        <v>156.9</v>
      </c>
      <c r="Z328">
        <v>162.1</v>
      </c>
      <c r="AA328">
        <v>165.4</v>
      </c>
      <c r="AB328">
        <v>164.4</v>
      </c>
      <c r="AC328">
        <v>163.5</v>
      </c>
      <c r="AD328">
        <v>166.1</v>
      </c>
    </row>
    <row r="329" spans="1:30">
      <c r="A329" t="s">
        <v>30</v>
      </c>
      <c r="B329">
        <v>2022</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t="s">
        <v>33</v>
      </c>
      <c r="B330">
        <v>2022</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t="s">
        <v>151</v>
      </c>
      <c r="V330">
        <v>164.5</v>
      </c>
      <c r="W330">
        <v>158.6</v>
      </c>
      <c r="X330">
        <v>168.2</v>
      </c>
      <c r="Y330">
        <v>154.19999999999999</v>
      </c>
      <c r="Z330">
        <v>160.80000000000001</v>
      </c>
      <c r="AA330">
        <v>162.69999999999999</v>
      </c>
      <c r="AB330">
        <v>166.8</v>
      </c>
      <c r="AC330">
        <v>160.6</v>
      </c>
      <c r="AD330">
        <v>166.5</v>
      </c>
    </row>
    <row r="331" spans="1:30">
      <c r="A331" t="s">
        <v>35</v>
      </c>
      <c r="B331">
        <v>2022</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t="s">
        <v>151</v>
      </c>
      <c r="V331">
        <v>167.2</v>
      </c>
      <c r="W331">
        <v>162.80000000000001</v>
      </c>
      <c r="X331">
        <v>173</v>
      </c>
      <c r="Y331">
        <v>157.9</v>
      </c>
      <c r="Z331">
        <v>163.30000000000001</v>
      </c>
      <c r="AA331">
        <v>166</v>
      </c>
      <c r="AB331">
        <v>167.2</v>
      </c>
      <c r="AC331">
        <v>164.6</v>
      </c>
      <c r="AD331">
        <v>167.7</v>
      </c>
    </row>
    <row r="332" spans="1:30">
      <c r="A332" t="s">
        <v>30</v>
      </c>
      <c r="B332">
        <v>2022</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t="s">
        <v>33</v>
      </c>
      <c r="B333">
        <v>2022</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t="s">
        <v>152</v>
      </c>
      <c r="V333">
        <v>170.5</v>
      </c>
      <c r="W333">
        <v>159.80000000000001</v>
      </c>
      <c r="X333">
        <v>169</v>
      </c>
      <c r="Y333">
        <v>159.30000000000001</v>
      </c>
      <c r="Z333">
        <v>162.19999999999999</v>
      </c>
      <c r="AA333">
        <v>164</v>
      </c>
      <c r="AB333">
        <v>168.4</v>
      </c>
      <c r="AC333">
        <v>163.1</v>
      </c>
      <c r="AD333">
        <v>169.2</v>
      </c>
    </row>
    <row r="334" spans="1:30">
      <c r="A334" t="s">
        <v>35</v>
      </c>
      <c r="B334">
        <v>2022</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t="s">
        <v>152</v>
      </c>
      <c r="V334">
        <v>172.2</v>
      </c>
      <c r="W334">
        <v>164</v>
      </c>
      <c r="X334">
        <v>174</v>
      </c>
      <c r="Y334">
        <v>162.6</v>
      </c>
      <c r="Z334">
        <v>164.4</v>
      </c>
      <c r="AA334">
        <v>166.9</v>
      </c>
      <c r="AB334">
        <v>168.8</v>
      </c>
      <c r="AC334">
        <v>166.8</v>
      </c>
      <c r="AD334">
        <v>170.1</v>
      </c>
    </row>
    <row r="335" spans="1:30">
      <c r="A335" t="s">
        <v>30</v>
      </c>
      <c r="B335">
        <v>2022</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t="s">
        <v>33</v>
      </c>
      <c r="B336">
        <v>2022</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t="s">
        <v>153</v>
      </c>
      <c r="V336">
        <v>173.5</v>
      </c>
      <c r="W336">
        <v>161.1</v>
      </c>
      <c r="X336">
        <v>170.1</v>
      </c>
      <c r="Y336">
        <v>159.4</v>
      </c>
      <c r="Z336">
        <v>163.19999999999999</v>
      </c>
      <c r="AA336">
        <v>165.2</v>
      </c>
      <c r="AB336">
        <v>168.2</v>
      </c>
      <c r="AC336">
        <v>163.80000000000001</v>
      </c>
      <c r="AD336">
        <v>170.8</v>
      </c>
    </row>
    <row r="337" spans="1:30">
      <c r="A337" t="s">
        <v>35</v>
      </c>
      <c r="B337">
        <v>2022</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t="s">
        <v>153</v>
      </c>
      <c r="V337">
        <v>174.6</v>
      </c>
      <c r="W337">
        <v>165.2</v>
      </c>
      <c r="X337">
        <v>174.8</v>
      </c>
      <c r="Y337">
        <v>163</v>
      </c>
      <c r="Z337">
        <v>165.1</v>
      </c>
      <c r="AA337">
        <v>167.9</v>
      </c>
      <c r="AB337">
        <v>168.4</v>
      </c>
      <c r="AC337">
        <v>167.5</v>
      </c>
      <c r="AD337">
        <v>171.7</v>
      </c>
    </row>
    <row r="338" spans="1:30">
      <c r="A338" t="s">
        <v>30</v>
      </c>
      <c r="B338">
        <v>2022</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t="s">
        <v>33</v>
      </c>
      <c r="B339">
        <v>2022</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t="s">
        <v>154</v>
      </c>
      <c r="V339">
        <v>174.9</v>
      </c>
      <c r="W339">
        <v>162.1</v>
      </c>
      <c r="X339">
        <v>170.9</v>
      </c>
      <c r="Y339">
        <v>157.19999999999999</v>
      </c>
      <c r="Z339">
        <v>164.1</v>
      </c>
      <c r="AA339">
        <v>166.5</v>
      </c>
      <c r="AB339">
        <v>169.2</v>
      </c>
      <c r="AC339">
        <v>163.80000000000001</v>
      </c>
      <c r="AD339">
        <v>171.4</v>
      </c>
    </row>
    <row r="340" spans="1:30">
      <c r="A340" t="s">
        <v>35</v>
      </c>
      <c r="B340">
        <v>2022</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t="s">
        <v>154</v>
      </c>
      <c r="V340">
        <v>176</v>
      </c>
      <c r="W340">
        <v>166.4</v>
      </c>
      <c r="X340">
        <v>175.4</v>
      </c>
      <c r="Y340">
        <v>161.1</v>
      </c>
      <c r="Z340">
        <v>165.8</v>
      </c>
      <c r="AA340">
        <v>169</v>
      </c>
      <c r="AB340">
        <v>169.4</v>
      </c>
      <c r="AC340">
        <v>167.5</v>
      </c>
      <c r="AD340">
        <v>172.6</v>
      </c>
    </row>
    <row r="341" spans="1:30">
      <c r="A341" t="s">
        <v>30</v>
      </c>
      <c r="B341">
        <v>2022</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t="s">
        <v>33</v>
      </c>
      <c r="B342">
        <v>2022</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t="s">
        <v>155</v>
      </c>
      <c r="V342">
        <v>179.5</v>
      </c>
      <c r="W342">
        <v>163.1</v>
      </c>
      <c r="X342">
        <v>171.7</v>
      </c>
      <c r="Y342">
        <v>157.4</v>
      </c>
      <c r="Z342">
        <v>164.6</v>
      </c>
      <c r="AA342">
        <v>169.1</v>
      </c>
      <c r="AB342">
        <v>169.8</v>
      </c>
      <c r="AC342">
        <v>164.7</v>
      </c>
      <c r="AD342">
        <v>172.3</v>
      </c>
    </row>
    <row r="343" spans="1:30">
      <c r="A343" t="s">
        <v>35</v>
      </c>
      <c r="B343">
        <v>2022</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t="s">
        <v>155</v>
      </c>
      <c r="V343">
        <v>179.6</v>
      </c>
      <c r="W343">
        <v>167.4</v>
      </c>
      <c r="X343">
        <v>176.1</v>
      </c>
      <c r="Y343">
        <v>161.6</v>
      </c>
      <c r="Z343">
        <v>166.3</v>
      </c>
      <c r="AA343">
        <v>171.4</v>
      </c>
      <c r="AB343">
        <v>169.7</v>
      </c>
      <c r="AC343">
        <v>168.4</v>
      </c>
      <c r="AD343">
        <v>173.4</v>
      </c>
    </row>
    <row r="344" spans="1:30">
      <c r="A344" t="s">
        <v>30</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t="s">
        <v>33</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t="s">
        <v>156</v>
      </c>
      <c r="V345">
        <v>178.4</v>
      </c>
      <c r="W345">
        <v>164.2</v>
      </c>
      <c r="X345">
        <v>172.6</v>
      </c>
      <c r="Y345">
        <v>157.69999999999999</v>
      </c>
      <c r="Z345">
        <v>165.1</v>
      </c>
      <c r="AA345">
        <v>169.9</v>
      </c>
      <c r="AB345">
        <v>171.4</v>
      </c>
      <c r="AC345">
        <v>165.4</v>
      </c>
      <c r="AD345">
        <v>173.1</v>
      </c>
    </row>
    <row r="346" spans="1:30">
      <c r="A346" t="s">
        <v>35</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t="s">
        <v>156</v>
      </c>
      <c r="V346">
        <v>178.8</v>
      </c>
      <c r="W346">
        <v>168.5</v>
      </c>
      <c r="X346">
        <v>176.8</v>
      </c>
      <c r="Y346">
        <v>161.9</v>
      </c>
      <c r="Z346">
        <v>166.9</v>
      </c>
      <c r="AA346">
        <v>172.3</v>
      </c>
      <c r="AB346">
        <v>171.2</v>
      </c>
      <c r="AC346">
        <v>169.1</v>
      </c>
      <c r="AD346">
        <v>174.3</v>
      </c>
    </row>
    <row r="347" spans="1:30">
      <c r="A347" t="s">
        <v>30</v>
      </c>
      <c r="B347">
        <v>2022</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t="s">
        <v>33</v>
      </c>
      <c r="B348">
        <v>2022</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t="s">
        <v>157</v>
      </c>
      <c r="V348">
        <v>179.2</v>
      </c>
      <c r="W348">
        <v>165</v>
      </c>
      <c r="X348">
        <v>173.8</v>
      </c>
      <c r="Y348">
        <v>158.19999999999999</v>
      </c>
      <c r="Z348">
        <v>165.8</v>
      </c>
      <c r="AA348">
        <v>170.9</v>
      </c>
      <c r="AB348">
        <v>171.1</v>
      </c>
      <c r="AC348">
        <v>166.1</v>
      </c>
      <c r="AD348">
        <v>174.1</v>
      </c>
    </row>
    <row r="349" spans="1:30">
      <c r="A349" t="s">
        <v>35</v>
      </c>
      <c r="B349">
        <v>2022</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t="s">
        <v>157</v>
      </c>
      <c r="V349">
        <v>179.5</v>
      </c>
      <c r="W349">
        <v>169.5</v>
      </c>
      <c r="X349">
        <v>177.8</v>
      </c>
      <c r="Y349">
        <v>162.30000000000001</v>
      </c>
      <c r="Z349">
        <v>167.6</v>
      </c>
      <c r="AA349">
        <v>173.1</v>
      </c>
      <c r="AB349">
        <v>170.9</v>
      </c>
      <c r="AC349">
        <v>169.7</v>
      </c>
      <c r="AD349">
        <v>175.3</v>
      </c>
    </row>
    <row r="350" spans="1:30">
      <c r="A350" t="s">
        <v>30</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t="s">
        <v>33</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t="s">
        <v>158</v>
      </c>
      <c r="V351">
        <v>180</v>
      </c>
      <c r="W351">
        <v>166</v>
      </c>
      <c r="X351">
        <v>174.7</v>
      </c>
      <c r="Y351">
        <v>158.80000000000001</v>
      </c>
      <c r="Z351">
        <v>166.3</v>
      </c>
      <c r="AA351">
        <v>171.2</v>
      </c>
      <c r="AB351">
        <v>172.3</v>
      </c>
      <c r="AC351">
        <v>166.8</v>
      </c>
      <c r="AD351">
        <v>175.3</v>
      </c>
    </row>
    <row r="352" spans="1:30">
      <c r="A352" t="s">
        <v>35</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t="s">
        <v>158</v>
      </c>
      <c r="V352">
        <v>180.5</v>
      </c>
      <c r="W352">
        <v>170.4</v>
      </c>
      <c r="X352">
        <v>178.7</v>
      </c>
      <c r="Y352">
        <v>162.9</v>
      </c>
      <c r="Z352">
        <v>168.2</v>
      </c>
      <c r="AA352">
        <v>173.4</v>
      </c>
      <c r="AB352">
        <v>172.1</v>
      </c>
      <c r="AC352">
        <v>170.5</v>
      </c>
      <c r="AD352">
        <v>176.7</v>
      </c>
    </row>
    <row r="353" spans="1:30">
      <c r="A353" t="s">
        <v>30</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t="s">
        <v>33</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t="s">
        <v>159</v>
      </c>
      <c r="V354">
        <v>180.3</v>
      </c>
      <c r="W354">
        <v>166.9</v>
      </c>
      <c r="X354">
        <v>175.8</v>
      </c>
      <c r="Y354">
        <v>158.9</v>
      </c>
      <c r="Z354">
        <v>166.7</v>
      </c>
      <c r="AA354">
        <v>171.5</v>
      </c>
      <c r="AB354">
        <v>173.8</v>
      </c>
      <c r="AC354">
        <v>167.4</v>
      </c>
      <c r="AD354">
        <v>174.1</v>
      </c>
    </row>
    <row r="355" spans="1:30">
      <c r="A355" t="s">
        <v>35</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t="s">
        <v>159</v>
      </c>
      <c r="V355">
        <v>181.3</v>
      </c>
      <c r="W355">
        <v>171.4</v>
      </c>
      <c r="X355">
        <v>179.8</v>
      </c>
      <c r="Y355">
        <v>163</v>
      </c>
      <c r="Z355">
        <v>168.5</v>
      </c>
      <c r="AA355">
        <v>173.7</v>
      </c>
      <c r="AB355">
        <v>173.6</v>
      </c>
      <c r="AC355">
        <v>171.1</v>
      </c>
      <c r="AD355">
        <v>176.5</v>
      </c>
    </row>
    <row r="356" spans="1:30">
      <c r="A356" t="s">
        <v>30</v>
      </c>
      <c r="B356">
        <v>2022</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t="s">
        <v>33</v>
      </c>
      <c r="B357">
        <v>2022</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t="s">
        <v>160</v>
      </c>
      <c r="V357">
        <v>180.6</v>
      </c>
      <c r="W357">
        <v>167.3</v>
      </c>
      <c r="X357">
        <v>177.2</v>
      </c>
      <c r="Y357">
        <v>159.4</v>
      </c>
      <c r="Z357">
        <v>167.1</v>
      </c>
      <c r="AA357">
        <v>171.8</v>
      </c>
      <c r="AB357">
        <v>176</v>
      </c>
      <c r="AC357">
        <v>168.2</v>
      </c>
      <c r="AD357">
        <v>174.1</v>
      </c>
    </row>
    <row r="358" spans="1:30">
      <c r="A358" t="s">
        <v>35</v>
      </c>
      <c r="B358">
        <v>2022</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t="s">
        <v>160</v>
      </c>
      <c r="V358">
        <v>182</v>
      </c>
      <c r="W358">
        <v>172.1</v>
      </c>
      <c r="X358">
        <v>181.1</v>
      </c>
      <c r="Y358">
        <v>163.4</v>
      </c>
      <c r="Z358">
        <v>168.9</v>
      </c>
      <c r="AA358">
        <v>174.1</v>
      </c>
      <c r="AB358">
        <v>175.8</v>
      </c>
      <c r="AC358">
        <v>172</v>
      </c>
      <c r="AD358">
        <v>175.7</v>
      </c>
    </row>
    <row r="359" spans="1:30">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t="s">
        <v>161</v>
      </c>
      <c r="V360">
        <v>180.1</v>
      </c>
      <c r="W360">
        <v>168</v>
      </c>
      <c r="X360">
        <v>178.5</v>
      </c>
      <c r="Y360">
        <v>159.5</v>
      </c>
      <c r="Z360">
        <v>167.8</v>
      </c>
      <c r="AA360">
        <v>171.8</v>
      </c>
      <c r="AB360">
        <v>178.8</v>
      </c>
      <c r="AC360">
        <v>168.9</v>
      </c>
      <c r="AD360">
        <v>174.9</v>
      </c>
    </row>
    <row r="361" spans="1:30">
      <c r="A361" t="s">
        <v>35</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t="s">
        <v>161</v>
      </c>
      <c r="V361">
        <v>182</v>
      </c>
      <c r="W361">
        <v>172.9</v>
      </c>
      <c r="X361">
        <v>182.3</v>
      </c>
      <c r="Y361">
        <v>163.6</v>
      </c>
      <c r="Z361">
        <v>169.5</v>
      </c>
      <c r="AA361">
        <v>174.3</v>
      </c>
      <c r="AB361">
        <v>178.6</v>
      </c>
      <c r="AC361">
        <v>172.8</v>
      </c>
      <c r="AD361">
        <v>176.5</v>
      </c>
    </row>
    <row r="362" spans="1:30">
      <c r="A362" t="s">
        <v>30</v>
      </c>
      <c r="B362">
        <v>2023</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t="s">
        <v>33</v>
      </c>
      <c r="B363">
        <v>2023</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t="s">
        <v>162</v>
      </c>
      <c r="V363">
        <v>182.8</v>
      </c>
      <c r="W363">
        <v>169.2</v>
      </c>
      <c r="X363">
        <v>180.8</v>
      </c>
      <c r="Y363">
        <v>159.80000000000001</v>
      </c>
      <c r="Z363">
        <v>168.4</v>
      </c>
      <c r="AA363">
        <v>172.5</v>
      </c>
      <c r="AB363">
        <v>181.4</v>
      </c>
      <c r="AC363">
        <v>170</v>
      </c>
      <c r="AD363">
        <v>176.3</v>
      </c>
    </row>
    <row r="364" spans="1:30">
      <c r="A364" t="s">
        <v>35</v>
      </c>
      <c r="B364">
        <v>2023</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t="s">
        <v>162</v>
      </c>
      <c r="V364">
        <v>182.1</v>
      </c>
      <c r="W364">
        <v>174.2</v>
      </c>
      <c r="X364">
        <v>184.4</v>
      </c>
      <c r="Y364">
        <v>164.2</v>
      </c>
      <c r="Z364">
        <v>170.3</v>
      </c>
      <c r="AA364">
        <v>175</v>
      </c>
      <c r="AB364">
        <v>181</v>
      </c>
      <c r="AC364">
        <v>174.1</v>
      </c>
      <c r="AD364">
        <v>177.2</v>
      </c>
    </row>
    <row r="365" spans="1:30">
      <c r="A365" t="s">
        <v>30</v>
      </c>
      <c r="B365">
        <v>2023</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t="s">
        <v>33</v>
      </c>
      <c r="B366">
        <v>2023</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t="s">
        <v>162</v>
      </c>
      <c r="V366">
        <v>182.6</v>
      </c>
      <c r="W366">
        <v>169.2</v>
      </c>
      <c r="X366">
        <v>180.8</v>
      </c>
      <c r="Y366">
        <v>159.80000000000001</v>
      </c>
      <c r="Z366">
        <v>168.4</v>
      </c>
      <c r="AA366">
        <v>172.5</v>
      </c>
      <c r="AB366">
        <v>181.5</v>
      </c>
      <c r="AC366">
        <v>170</v>
      </c>
      <c r="AD366">
        <v>176.3</v>
      </c>
    </row>
    <row r="367" spans="1:30">
      <c r="A367" t="s">
        <v>35</v>
      </c>
      <c r="B367">
        <v>2023</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t="s">
        <v>162</v>
      </c>
      <c r="V367">
        <v>181.9</v>
      </c>
      <c r="W367">
        <v>174.2</v>
      </c>
      <c r="X367">
        <v>184.4</v>
      </c>
      <c r="Y367">
        <v>164.2</v>
      </c>
      <c r="Z367">
        <v>170.3</v>
      </c>
      <c r="AA367">
        <v>175</v>
      </c>
      <c r="AB367">
        <v>181</v>
      </c>
      <c r="AC367">
        <v>174.1</v>
      </c>
      <c r="AD367">
        <v>177.2</v>
      </c>
    </row>
    <row r="368" spans="1:30">
      <c r="A368" t="s">
        <v>30</v>
      </c>
      <c r="B368">
        <v>2023</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139</v>
      </c>
      <c r="V368">
        <v>181.5</v>
      </c>
      <c r="W368">
        <v>179.1</v>
      </c>
      <c r="X368">
        <v>187.2</v>
      </c>
      <c r="Y368">
        <v>169.4</v>
      </c>
      <c r="Z368">
        <v>173.2</v>
      </c>
      <c r="AA368">
        <v>179.4</v>
      </c>
      <c r="AB368">
        <v>183.8</v>
      </c>
      <c r="AC368">
        <v>178.9</v>
      </c>
      <c r="AD368">
        <v>178.8</v>
      </c>
    </row>
    <row r="369" spans="1:30">
      <c r="A369" t="s">
        <v>33</v>
      </c>
      <c r="B369">
        <v>2023</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t="s">
        <v>163</v>
      </c>
      <c r="V369">
        <v>182.1</v>
      </c>
      <c r="W369">
        <v>169.6</v>
      </c>
      <c r="X369">
        <v>181.5</v>
      </c>
      <c r="Y369">
        <v>160.1</v>
      </c>
      <c r="Z369">
        <v>168.8</v>
      </c>
      <c r="AA369">
        <v>174.2</v>
      </c>
      <c r="AB369">
        <v>184.4</v>
      </c>
      <c r="AC369">
        <v>170.9</v>
      </c>
      <c r="AD369">
        <v>177.4</v>
      </c>
    </row>
    <row r="370" spans="1:30">
      <c r="A370" t="s">
        <v>35</v>
      </c>
      <c r="B370">
        <v>2023</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t="s">
        <v>163</v>
      </c>
      <c r="V370">
        <v>181.7</v>
      </c>
      <c r="W370">
        <v>174.6</v>
      </c>
      <c r="X370">
        <v>185</v>
      </c>
      <c r="Y370">
        <v>164.5</v>
      </c>
      <c r="Z370">
        <v>170.7</v>
      </c>
      <c r="AA370">
        <v>176.4</v>
      </c>
      <c r="AB370">
        <v>184</v>
      </c>
      <c r="AC370">
        <v>175</v>
      </c>
      <c r="AD370">
        <v>178.1</v>
      </c>
    </row>
    <row r="371" spans="1:30">
      <c r="A371" t="s">
        <v>30</v>
      </c>
      <c r="B371">
        <v>2023</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139</v>
      </c>
      <c r="V371">
        <v>182.5</v>
      </c>
      <c r="W371">
        <v>179.8</v>
      </c>
      <c r="X371">
        <v>187.8</v>
      </c>
      <c r="Y371">
        <v>169.7</v>
      </c>
      <c r="Z371">
        <v>173.8</v>
      </c>
      <c r="AA371">
        <v>180.3</v>
      </c>
      <c r="AB371">
        <v>184.9</v>
      </c>
      <c r="AC371">
        <v>179.5</v>
      </c>
      <c r="AD371">
        <v>179.8</v>
      </c>
    </row>
    <row r="372" spans="1:30">
      <c r="A372" t="s">
        <v>33</v>
      </c>
      <c r="B372">
        <v>2023</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t="s">
        <v>164</v>
      </c>
      <c r="V372">
        <v>183.4</v>
      </c>
      <c r="W372">
        <v>170.1</v>
      </c>
      <c r="X372">
        <v>182.2</v>
      </c>
      <c r="Y372">
        <v>160.4</v>
      </c>
      <c r="Z372">
        <v>169.2</v>
      </c>
      <c r="AA372">
        <v>174.8</v>
      </c>
      <c r="AB372">
        <v>185.6</v>
      </c>
      <c r="AC372">
        <v>171.6</v>
      </c>
      <c r="AD372">
        <v>178.2</v>
      </c>
    </row>
    <row r="373" spans="1:30">
      <c r="A373" t="s">
        <v>35</v>
      </c>
      <c r="B373">
        <v>2023</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t="s">
        <v>164</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6B6D-2E7A-49C4-B118-F519441CF014}">
  <dimension ref="A1:AF373"/>
  <sheetViews>
    <sheetView workbookViewId="0">
      <selection sqref="A1:AF373"/>
    </sheetView>
  </sheetViews>
  <sheetFormatPr defaultRowHeight="14.45"/>
  <cols>
    <col min="1" max="1" width="11.140625" bestFit="1" customWidth="1"/>
    <col min="2" max="2" width="6.85546875" bestFit="1" customWidth="1"/>
    <col min="3" max="3" width="9.7109375" bestFit="1" customWidth="1"/>
    <col min="4" max="4" width="15.5703125" bestFit="1" customWidth="1"/>
    <col min="5" max="5" width="7.140625" bestFit="1" customWidth="1"/>
    <col min="6" max="6" width="21" bestFit="1" customWidth="1"/>
    <col min="7" max="7" width="14.140625" bestFit="1" customWidth="1"/>
    <col min="8" max="8" width="6" bestFit="1" customWidth="1"/>
    <col min="9" max="9" width="18.140625" bestFit="1" customWidth="1"/>
    <col min="10" max="10" width="13.42578125" bestFit="1" customWidth="1"/>
    <col min="11" max="11" width="8" bestFit="1" customWidth="1"/>
    <col min="12" max="12" width="12.42578125" bestFit="1" customWidth="1"/>
    <col min="13" max="13" width="20.140625" bestFit="1" customWidth="1"/>
    <col min="14" max="14" width="23.5703125" bestFit="1" customWidth="1"/>
    <col min="16" max="16" width="24" bestFit="1" customWidth="1"/>
    <col min="17" max="17" width="33.7109375" bestFit="1" customWidth="1"/>
    <col min="18" max="18" width="19.7109375" bestFit="1" customWidth="1"/>
    <col min="19" max="19" width="27.28515625" bestFit="1" customWidth="1"/>
    <col min="20" max="20" width="10.140625" bestFit="1" customWidth="1"/>
    <col min="21" max="21" width="10.85546875" bestFit="1" customWidth="1"/>
    <col min="22" max="22" width="21.28515625" bestFit="1" customWidth="1"/>
    <col min="23" max="23" width="9.85546875" bestFit="1" customWidth="1"/>
    <col min="24" max="24" width="14.28515625" bestFit="1" customWidth="1"/>
    <col min="25" max="25" width="28.42578125" bestFit="1" customWidth="1"/>
    <col min="26" max="26" width="8.7109375" bestFit="1" customWidth="1"/>
    <col min="27" max="27" width="28.42578125" bestFit="1" customWidth="1"/>
    <col min="28" max="28" width="26.28515625" bestFit="1" customWidth="1"/>
    <col min="29" max="29" width="11.5703125" bestFit="1" customWidth="1"/>
    <col min="30" max="30" width="24.28515625" bestFit="1" customWidth="1"/>
    <col min="31" max="31" width="15.140625" bestFit="1" customWidth="1"/>
    <col min="32" max="32" width="14.7109375" bestFit="1" customWidth="1"/>
  </cols>
  <sheetData>
    <row r="1" spans="1:32">
      <c r="A1" t="s">
        <v>0</v>
      </c>
      <c r="B1" t="s">
        <v>1</v>
      </c>
      <c r="C1" t="s">
        <v>2</v>
      </c>
      <c r="D1" t="s">
        <v>165</v>
      </c>
      <c r="E1" t="s">
        <v>166</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row>
    <row r="2" spans="1:32">
      <c r="A2" t="s">
        <v>30</v>
      </c>
      <c r="B2">
        <v>2013</v>
      </c>
      <c r="C2" t="s">
        <v>31</v>
      </c>
      <c r="D2">
        <v>1</v>
      </c>
      <c r="E2" s="1">
        <v>41275</v>
      </c>
      <c r="F2">
        <v>107.5</v>
      </c>
      <c r="G2">
        <v>106.3</v>
      </c>
      <c r="H2">
        <v>108.1</v>
      </c>
      <c r="I2">
        <v>104.9</v>
      </c>
      <c r="J2">
        <v>106.1</v>
      </c>
      <c r="K2">
        <v>103.9</v>
      </c>
      <c r="L2">
        <v>101.9</v>
      </c>
      <c r="M2">
        <v>106.1</v>
      </c>
      <c r="N2">
        <v>106.8</v>
      </c>
      <c r="O2">
        <v>103.1</v>
      </c>
      <c r="P2">
        <v>104.8</v>
      </c>
      <c r="Q2">
        <v>106.7</v>
      </c>
      <c r="R2">
        <v>105.5</v>
      </c>
      <c r="S2">
        <v>105.1</v>
      </c>
      <c r="T2">
        <v>106.5</v>
      </c>
      <c r="U2">
        <v>105.8</v>
      </c>
      <c r="V2">
        <v>106.4</v>
      </c>
      <c r="X2">
        <v>105.5</v>
      </c>
      <c r="Y2">
        <v>104.8</v>
      </c>
      <c r="Z2">
        <v>104</v>
      </c>
      <c r="AA2">
        <v>103.3</v>
      </c>
      <c r="AB2">
        <v>103.4</v>
      </c>
      <c r="AC2">
        <v>103.8</v>
      </c>
      <c r="AD2">
        <v>104.7</v>
      </c>
      <c r="AE2">
        <v>104</v>
      </c>
      <c r="AF2">
        <v>105.1</v>
      </c>
    </row>
    <row r="3" spans="1:32">
      <c r="A3" t="s">
        <v>33</v>
      </c>
      <c r="B3">
        <v>2013</v>
      </c>
      <c r="C3" t="s">
        <v>31</v>
      </c>
      <c r="D3">
        <v>1</v>
      </c>
      <c r="E3" s="1">
        <v>41275</v>
      </c>
      <c r="F3">
        <v>110.5</v>
      </c>
      <c r="G3">
        <v>109.1</v>
      </c>
      <c r="H3">
        <v>113</v>
      </c>
      <c r="I3">
        <v>103.6</v>
      </c>
      <c r="J3">
        <v>103.4</v>
      </c>
      <c r="K3">
        <v>102.3</v>
      </c>
      <c r="L3">
        <v>102.9</v>
      </c>
      <c r="M3">
        <v>105.8</v>
      </c>
      <c r="N3">
        <v>105.1</v>
      </c>
      <c r="O3">
        <v>101.8</v>
      </c>
      <c r="P3">
        <v>105.1</v>
      </c>
      <c r="Q3">
        <v>107.9</v>
      </c>
      <c r="R3">
        <v>105.9</v>
      </c>
      <c r="S3">
        <v>105.2</v>
      </c>
      <c r="T3">
        <v>105.9</v>
      </c>
      <c r="U3">
        <v>105</v>
      </c>
      <c r="V3">
        <v>105.8</v>
      </c>
      <c r="W3">
        <v>100.3</v>
      </c>
      <c r="X3">
        <v>105.4</v>
      </c>
      <c r="Y3">
        <v>104.8</v>
      </c>
      <c r="Z3">
        <v>104.1</v>
      </c>
      <c r="AA3">
        <v>103.2</v>
      </c>
      <c r="AB3">
        <v>102.9</v>
      </c>
      <c r="AC3">
        <v>103.5</v>
      </c>
      <c r="AD3">
        <v>104.3</v>
      </c>
      <c r="AE3">
        <v>103.7</v>
      </c>
      <c r="AF3">
        <v>104</v>
      </c>
    </row>
    <row r="4" spans="1:32">
      <c r="A4" t="s">
        <v>35</v>
      </c>
      <c r="B4">
        <v>2013</v>
      </c>
      <c r="C4" t="s">
        <v>31</v>
      </c>
      <c r="D4">
        <v>1</v>
      </c>
      <c r="E4" s="1">
        <v>41275</v>
      </c>
      <c r="F4">
        <v>108.4</v>
      </c>
      <c r="G4">
        <v>107.3</v>
      </c>
      <c r="H4">
        <v>110</v>
      </c>
      <c r="I4">
        <v>104.4</v>
      </c>
      <c r="J4">
        <v>105.1</v>
      </c>
      <c r="K4">
        <v>103.2</v>
      </c>
      <c r="L4">
        <v>102.2</v>
      </c>
      <c r="M4">
        <v>106</v>
      </c>
      <c r="N4">
        <v>106.2</v>
      </c>
      <c r="O4">
        <v>102.7</v>
      </c>
      <c r="P4">
        <v>104.9</v>
      </c>
      <c r="Q4">
        <v>107.3</v>
      </c>
      <c r="R4">
        <v>105.6</v>
      </c>
      <c r="S4">
        <v>105.1</v>
      </c>
      <c r="T4">
        <v>106.3</v>
      </c>
      <c r="U4">
        <v>105.5</v>
      </c>
      <c r="V4">
        <v>106.2</v>
      </c>
      <c r="W4">
        <v>100.3</v>
      </c>
      <c r="X4">
        <v>105.5</v>
      </c>
      <c r="Y4">
        <v>104.8</v>
      </c>
      <c r="Z4">
        <v>104</v>
      </c>
      <c r="AA4">
        <v>103.2</v>
      </c>
      <c r="AB4">
        <v>103.1</v>
      </c>
      <c r="AC4">
        <v>103.6</v>
      </c>
      <c r="AD4">
        <v>104.5</v>
      </c>
      <c r="AE4">
        <v>103.9</v>
      </c>
      <c r="AF4">
        <v>104.6</v>
      </c>
    </row>
    <row r="5" spans="1:32">
      <c r="A5" t="s">
        <v>30</v>
      </c>
      <c r="B5">
        <v>2013</v>
      </c>
      <c r="C5" t="s">
        <v>36</v>
      </c>
      <c r="D5">
        <v>2</v>
      </c>
      <c r="E5" s="1">
        <v>41306</v>
      </c>
      <c r="F5">
        <v>109.2</v>
      </c>
      <c r="G5">
        <v>108.7</v>
      </c>
      <c r="H5">
        <v>110.2</v>
      </c>
      <c r="I5">
        <v>105.4</v>
      </c>
      <c r="J5">
        <v>106.7</v>
      </c>
      <c r="K5">
        <v>104</v>
      </c>
      <c r="L5">
        <v>102.4</v>
      </c>
      <c r="M5">
        <v>105.9</v>
      </c>
      <c r="N5">
        <v>105.7</v>
      </c>
      <c r="O5">
        <v>103.1</v>
      </c>
      <c r="P5">
        <v>105.1</v>
      </c>
      <c r="Q5">
        <v>107.7</v>
      </c>
      <c r="R5">
        <v>106.3</v>
      </c>
      <c r="S5">
        <v>105.6</v>
      </c>
      <c r="T5">
        <v>107.1</v>
      </c>
      <c r="U5">
        <v>106.3</v>
      </c>
      <c r="V5">
        <v>107</v>
      </c>
      <c r="X5">
        <v>106.2</v>
      </c>
      <c r="Y5">
        <v>105.2</v>
      </c>
      <c r="Z5">
        <v>104.4</v>
      </c>
      <c r="AA5">
        <v>103.9</v>
      </c>
      <c r="AB5">
        <v>104</v>
      </c>
      <c r="AC5">
        <v>104.1</v>
      </c>
      <c r="AD5">
        <v>104.6</v>
      </c>
      <c r="AE5">
        <v>104.4</v>
      </c>
      <c r="AF5">
        <v>105.8</v>
      </c>
    </row>
    <row r="6" spans="1:32">
      <c r="A6" t="s">
        <v>33</v>
      </c>
      <c r="B6">
        <v>2013</v>
      </c>
      <c r="C6" t="s">
        <v>36</v>
      </c>
      <c r="D6">
        <v>2</v>
      </c>
      <c r="E6" s="1">
        <v>41306</v>
      </c>
      <c r="F6">
        <v>112.9</v>
      </c>
      <c r="G6">
        <v>112.9</v>
      </c>
      <c r="H6">
        <v>116.9</v>
      </c>
      <c r="I6">
        <v>104</v>
      </c>
      <c r="J6">
        <v>103.5</v>
      </c>
      <c r="K6">
        <v>103.1</v>
      </c>
      <c r="L6">
        <v>104.9</v>
      </c>
      <c r="M6">
        <v>104.1</v>
      </c>
      <c r="N6">
        <v>103.8</v>
      </c>
      <c r="O6">
        <v>102.3</v>
      </c>
      <c r="P6">
        <v>106</v>
      </c>
      <c r="Q6">
        <v>109</v>
      </c>
      <c r="R6">
        <v>107.2</v>
      </c>
      <c r="S6">
        <v>106</v>
      </c>
      <c r="T6">
        <v>106.6</v>
      </c>
      <c r="U6">
        <v>105.5</v>
      </c>
      <c r="V6">
        <v>106.4</v>
      </c>
      <c r="W6">
        <v>100.4</v>
      </c>
      <c r="X6">
        <v>105.7</v>
      </c>
      <c r="Y6">
        <v>105.2</v>
      </c>
      <c r="Z6">
        <v>104.7</v>
      </c>
      <c r="AA6">
        <v>104.4</v>
      </c>
      <c r="AB6">
        <v>103.3</v>
      </c>
      <c r="AC6">
        <v>103.7</v>
      </c>
      <c r="AD6">
        <v>104.3</v>
      </c>
      <c r="AE6">
        <v>104.3</v>
      </c>
      <c r="AF6">
        <v>104.7</v>
      </c>
    </row>
    <row r="7" spans="1:32">
      <c r="A7" t="s">
        <v>35</v>
      </c>
      <c r="B7">
        <v>2013</v>
      </c>
      <c r="C7" t="s">
        <v>36</v>
      </c>
      <c r="D7">
        <v>2</v>
      </c>
      <c r="E7" s="1">
        <v>41306</v>
      </c>
      <c r="F7">
        <v>110.4</v>
      </c>
      <c r="G7">
        <v>110.2</v>
      </c>
      <c r="H7">
        <v>112.8</v>
      </c>
      <c r="I7">
        <v>104.9</v>
      </c>
      <c r="J7">
        <v>105.5</v>
      </c>
      <c r="K7">
        <v>103.6</v>
      </c>
      <c r="L7">
        <v>103.2</v>
      </c>
      <c r="M7">
        <v>105.3</v>
      </c>
      <c r="N7">
        <v>105.1</v>
      </c>
      <c r="O7">
        <v>102.8</v>
      </c>
      <c r="P7">
        <v>105.5</v>
      </c>
      <c r="Q7">
        <v>108.3</v>
      </c>
      <c r="R7">
        <v>106.6</v>
      </c>
      <c r="S7">
        <v>105.7</v>
      </c>
      <c r="T7">
        <v>106.9</v>
      </c>
      <c r="U7">
        <v>106</v>
      </c>
      <c r="V7">
        <v>106.8</v>
      </c>
      <c r="W7">
        <v>100.4</v>
      </c>
      <c r="X7">
        <v>106</v>
      </c>
      <c r="Y7">
        <v>105.2</v>
      </c>
      <c r="Z7">
        <v>104.5</v>
      </c>
      <c r="AA7">
        <v>104.2</v>
      </c>
      <c r="AB7">
        <v>103.6</v>
      </c>
      <c r="AC7">
        <v>103.9</v>
      </c>
      <c r="AD7">
        <v>104.5</v>
      </c>
      <c r="AE7">
        <v>104.4</v>
      </c>
      <c r="AF7">
        <v>105.3</v>
      </c>
    </row>
    <row r="8" spans="1:32">
      <c r="A8" t="s">
        <v>30</v>
      </c>
      <c r="B8">
        <v>2013</v>
      </c>
      <c r="C8" t="s">
        <v>38</v>
      </c>
      <c r="D8">
        <v>3</v>
      </c>
      <c r="E8" s="1">
        <v>41334</v>
      </c>
      <c r="F8">
        <v>110.2</v>
      </c>
      <c r="G8">
        <v>108.8</v>
      </c>
      <c r="H8">
        <v>109.9</v>
      </c>
      <c r="I8">
        <v>105.6</v>
      </c>
      <c r="J8">
        <v>106.2</v>
      </c>
      <c r="K8">
        <v>105.7</v>
      </c>
      <c r="L8">
        <v>101.4</v>
      </c>
      <c r="M8">
        <v>105.7</v>
      </c>
      <c r="N8">
        <v>105</v>
      </c>
      <c r="O8">
        <v>103.3</v>
      </c>
      <c r="P8">
        <v>105.6</v>
      </c>
      <c r="Q8">
        <v>108.2</v>
      </c>
      <c r="R8">
        <v>106.6</v>
      </c>
      <c r="S8">
        <v>106.5</v>
      </c>
      <c r="T8">
        <v>107.6</v>
      </c>
      <c r="U8">
        <v>106.8</v>
      </c>
      <c r="V8">
        <v>107.5</v>
      </c>
      <c r="X8">
        <v>106.1</v>
      </c>
      <c r="Y8">
        <v>105.6</v>
      </c>
      <c r="Z8">
        <v>104.7</v>
      </c>
      <c r="AA8">
        <v>104.6</v>
      </c>
      <c r="AB8">
        <v>104</v>
      </c>
      <c r="AC8">
        <v>104.3</v>
      </c>
      <c r="AD8">
        <v>104.3</v>
      </c>
      <c r="AE8">
        <v>104.6</v>
      </c>
      <c r="AF8">
        <v>106</v>
      </c>
    </row>
    <row r="9" spans="1:32">
      <c r="A9" t="s">
        <v>33</v>
      </c>
      <c r="B9">
        <v>2013</v>
      </c>
      <c r="C9" t="s">
        <v>38</v>
      </c>
      <c r="D9">
        <v>3</v>
      </c>
      <c r="E9" s="1">
        <v>41334</v>
      </c>
      <c r="F9">
        <v>113.9</v>
      </c>
      <c r="G9">
        <v>111.4</v>
      </c>
      <c r="H9">
        <v>113.2</v>
      </c>
      <c r="I9">
        <v>104.3</v>
      </c>
      <c r="J9">
        <v>102.7</v>
      </c>
      <c r="K9">
        <v>104.9</v>
      </c>
      <c r="L9">
        <v>103.8</v>
      </c>
      <c r="M9">
        <v>103.5</v>
      </c>
      <c r="N9">
        <v>102.6</v>
      </c>
      <c r="O9">
        <v>102.4</v>
      </c>
      <c r="P9">
        <v>107</v>
      </c>
      <c r="Q9">
        <v>109.8</v>
      </c>
      <c r="R9">
        <v>107.3</v>
      </c>
      <c r="S9">
        <v>106.8</v>
      </c>
      <c r="T9">
        <v>107.2</v>
      </c>
      <c r="U9">
        <v>106</v>
      </c>
      <c r="V9">
        <v>107</v>
      </c>
      <c r="W9">
        <v>100.4</v>
      </c>
      <c r="X9">
        <v>106</v>
      </c>
      <c r="Y9">
        <v>105.7</v>
      </c>
      <c r="Z9">
        <v>105.2</v>
      </c>
      <c r="AA9">
        <v>105.5</v>
      </c>
      <c r="AB9">
        <v>103.5</v>
      </c>
      <c r="AC9">
        <v>103.8</v>
      </c>
      <c r="AD9">
        <v>104.2</v>
      </c>
      <c r="AE9">
        <v>104.9</v>
      </c>
      <c r="AF9">
        <v>105</v>
      </c>
    </row>
    <row r="10" spans="1:32">
      <c r="A10" t="s">
        <v>35</v>
      </c>
      <c r="B10">
        <v>2013</v>
      </c>
      <c r="C10" t="s">
        <v>38</v>
      </c>
      <c r="D10">
        <v>3</v>
      </c>
      <c r="E10" s="1">
        <v>41334</v>
      </c>
      <c r="F10">
        <v>111.4</v>
      </c>
      <c r="G10">
        <v>109.7</v>
      </c>
      <c r="H10">
        <v>111.2</v>
      </c>
      <c r="I10">
        <v>105.1</v>
      </c>
      <c r="J10">
        <v>104.9</v>
      </c>
      <c r="K10">
        <v>105.3</v>
      </c>
      <c r="L10">
        <v>102.2</v>
      </c>
      <c r="M10">
        <v>105</v>
      </c>
      <c r="N10">
        <v>104.2</v>
      </c>
      <c r="O10">
        <v>103</v>
      </c>
      <c r="P10">
        <v>106.2</v>
      </c>
      <c r="Q10">
        <v>108.9</v>
      </c>
      <c r="R10">
        <v>106.9</v>
      </c>
      <c r="S10">
        <v>106.6</v>
      </c>
      <c r="T10">
        <v>107.4</v>
      </c>
      <c r="U10">
        <v>106.5</v>
      </c>
      <c r="V10">
        <v>107.3</v>
      </c>
      <c r="W10">
        <v>100.4</v>
      </c>
      <c r="X10">
        <v>106.1</v>
      </c>
      <c r="Y10">
        <v>105.6</v>
      </c>
      <c r="Z10">
        <v>104.9</v>
      </c>
      <c r="AA10">
        <v>105.1</v>
      </c>
      <c r="AB10">
        <v>103.7</v>
      </c>
      <c r="AC10">
        <v>104</v>
      </c>
      <c r="AD10">
        <v>104.3</v>
      </c>
      <c r="AE10">
        <v>104.7</v>
      </c>
      <c r="AF10">
        <v>105.5</v>
      </c>
    </row>
    <row r="11" spans="1:32">
      <c r="A11" t="s">
        <v>30</v>
      </c>
      <c r="B11">
        <v>2013</v>
      </c>
      <c r="C11" t="s">
        <v>39</v>
      </c>
      <c r="D11">
        <v>4</v>
      </c>
      <c r="E11" s="1">
        <v>41365</v>
      </c>
      <c r="F11">
        <v>110.2</v>
      </c>
      <c r="G11">
        <v>109.5</v>
      </c>
      <c r="H11">
        <v>106.9</v>
      </c>
      <c r="I11">
        <v>106.3</v>
      </c>
      <c r="J11">
        <v>105.7</v>
      </c>
      <c r="K11">
        <v>108.3</v>
      </c>
      <c r="L11">
        <v>103.4</v>
      </c>
      <c r="M11">
        <v>105.7</v>
      </c>
      <c r="N11">
        <v>104.2</v>
      </c>
      <c r="O11">
        <v>103.2</v>
      </c>
      <c r="P11">
        <v>106.5</v>
      </c>
      <c r="Q11">
        <v>108.8</v>
      </c>
      <c r="R11">
        <v>107.1</v>
      </c>
      <c r="S11">
        <v>107.1</v>
      </c>
      <c r="T11">
        <v>108.1</v>
      </c>
      <c r="U11">
        <v>107.4</v>
      </c>
      <c r="V11">
        <v>108</v>
      </c>
      <c r="X11">
        <v>106.5</v>
      </c>
      <c r="Y11">
        <v>106.1</v>
      </c>
      <c r="Z11">
        <v>105.1</v>
      </c>
      <c r="AA11">
        <v>104.4</v>
      </c>
      <c r="AB11">
        <v>104.5</v>
      </c>
      <c r="AC11">
        <v>104.8</v>
      </c>
      <c r="AD11">
        <v>102.7</v>
      </c>
      <c r="AE11">
        <v>104.6</v>
      </c>
      <c r="AF11">
        <v>106.4</v>
      </c>
    </row>
    <row r="12" spans="1:32">
      <c r="A12" t="s">
        <v>33</v>
      </c>
      <c r="B12">
        <v>2013</v>
      </c>
      <c r="C12" t="s">
        <v>39</v>
      </c>
      <c r="D12">
        <v>4</v>
      </c>
      <c r="E12" s="1">
        <v>41365</v>
      </c>
      <c r="F12">
        <v>114.6</v>
      </c>
      <c r="G12">
        <v>113.4</v>
      </c>
      <c r="H12">
        <v>106</v>
      </c>
      <c r="I12">
        <v>104.7</v>
      </c>
      <c r="J12">
        <v>102.1</v>
      </c>
      <c r="K12">
        <v>109.5</v>
      </c>
      <c r="L12">
        <v>109.7</v>
      </c>
      <c r="M12">
        <v>104.6</v>
      </c>
      <c r="N12">
        <v>102</v>
      </c>
      <c r="O12">
        <v>103.5</v>
      </c>
      <c r="P12">
        <v>108.2</v>
      </c>
      <c r="Q12">
        <v>110.6</v>
      </c>
      <c r="R12">
        <v>108.8</v>
      </c>
      <c r="S12">
        <v>108.5</v>
      </c>
      <c r="T12">
        <v>107.9</v>
      </c>
      <c r="U12">
        <v>106.4</v>
      </c>
      <c r="V12">
        <v>107.7</v>
      </c>
      <c r="W12">
        <v>100.5</v>
      </c>
      <c r="X12">
        <v>106.4</v>
      </c>
      <c r="Y12">
        <v>106.5</v>
      </c>
      <c r="Z12">
        <v>105.7</v>
      </c>
      <c r="AA12">
        <v>105</v>
      </c>
      <c r="AB12">
        <v>104</v>
      </c>
      <c r="AC12">
        <v>105.2</v>
      </c>
      <c r="AD12">
        <v>103.2</v>
      </c>
      <c r="AE12">
        <v>105.1</v>
      </c>
      <c r="AF12">
        <v>105.7</v>
      </c>
    </row>
    <row r="13" spans="1:32">
      <c r="A13" t="s">
        <v>35</v>
      </c>
      <c r="B13">
        <v>2013</v>
      </c>
      <c r="C13" t="s">
        <v>39</v>
      </c>
      <c r="D13">
        <v>4</v>
      </c>
      <c r="E13" s="1">
        <v>41365</v>
      </c>
      <c r="F13">
        <v>111.6</v>
      </c>
      <c r="G13">
        <v>110.9</v>
      </c>
      <c r="H13">
        <v>106.6</v>
      </c>
      <c r="I13">
        <v>105.7</v>
      </c>
      <c r="J13">
        <v>104.4</v>
      </c>
      <c r="K13">
        <v>108.9</v>
      </c>
      <c r="L13">
        <v>105.5</v>
      </c>
      <c r="M13">
        <v>105.3</v>
      </c>
      <c r="N13">
        <v>103.5</v>
      </c>
      <c r="O13">
        <v>103.3</v>
      </c>
      <c r="P13">
        <v>107.2</v>
      </c>
      <c r="Q13">
        <v>109.6</v>
      </c>
      <c r="R13">
        <v>107.7</v>
      </c>
      <c r="S13">
        <v>107.5</v>
      </c>
      <c r="T13">
        <v>108</v>
      </c>
      <c r="U13">
        <v>107</v>
      </c>
      <c r="V13">
        <v>107.9</v>
      </c>
      <c r="W13">
        <v>100.5</v>
      </c>
      <c r="X13">
        <v>106.5</v>
      </c>
      <c r="Y13">
        <v>106.3</v>
      </c>
      <c r="Z13">
        <v>105.3</v>
      </c>
      <c r="AA13">
        <v>104.7</v>
      </c>
      <c r="AB13">
        <v>104.2</v>
      </c>
      <c r="AC13">
        <v>105</v>
      </c>
      <c r="AD13">
        <v>102.9</v>
      </c>
      <c r="AE13">
        <v>104.8</v>
      </c>
      <c r="AF13">
        <v>106.1</v>
      </c>
    </row>
    <row r="14" spans="1:32">
      <c r="A14" t="s">
        <v>30</v>
      </c>
      <c r="B14">
        <v>2013</v>
      </c>
      <c r="C14" t="s">
        <v>41</v>
      </c>
      <c r="D14">
        <v>5</v>
      </c>
      <c r="E14" s="1">
        <v>41395</v>
      </c>
      <c r="F14">
        <v>110.9</v>
      </c>
      <c r="G14">
        <v>109.8</v>
      </c>
      <c r="H14">
        <v>105.9</v>
      </c>
      <c r="I14">
        <v>107.5</v>
      </c>
      <c r="J14">
        <v>105.3</v>
      </c>
      <c r="K14">
        <v>108.1</v>
      </c>
      <c r="L14">
        <v>107.3</v>
      </c>
      <c r="M14">
        <v>106.1</v>
      </c>
      <c r="N14">
        <v>103.7</v>
      </c>
      <c r="O14">
        <v>104</v>
      </c>
      <c r="P14">
        <v>107.4</v>
      </c>
      <c r="Q14">
        <v>109.9</v>
      </c>
      <c r="R14">
        <v>108.1</v>
      </c>
      <c r="S14">
        <v>108.1</v>
      </c>
      <c r="T14">
        <v>108.8</v>
      </c>
      <c r="U14">
        <v>107.9</v>
      </c>
      <c r="V14">
        <v>108.6</v>
      </c>
      <c r="X14">
        <v>107.5</v>
      </c>
      <c r="Y14">
        <v>106.8</v>
      </c>
      <c r="Z14">
        <v>105.7</v>
      </c>
      <c r="AA14">
        <v>104.1</v>
      </c>
      <c r="AB14">
        <v>105</v>
      </c>
      <c r="AC14">
        <v>105.5</v>
      </c>
      <c r="AD14">
        <v>102.1</v>
      </c>
      <c r="AE14">
        <v>104.8</v>
      </c>
      <c r="AF14">
        <v>107.2</v>
      </c>
    </row>
    <row r="15" spans="1:32">
      <c r="A15" t="s">
        <v>33</v>
      </c>
      <c r="B15">
        <v>2013</v>
      </c>
      <c r="C15" t="s">
        <v>41</v>
      </c>
      <c r="D15">
        <v>5</v>
      </c>
      <c r="E15" s="1">
        <v>41395</v>
      </c>
      <c r="F15">
        <v>115.4</v>
      </c>
      <c r="G15">
        <v>114.2</v>
      </c>
      <c r="H15">
        <v>102.7</v>
      </c>
      <c r="I15">
        <v>105.5</v>
      </c>
      <c r="J15">
        <v>101.5</v>
      </c>
      <c r="K15">
        <v>110.6</v>
      </c>
      <c r="L15">
        <v>123.7</v>
      </c>
      <c r="M15">
        <v>105.2</v>
      </c>
      <c r="N15">
        <v>101.9</v>
      </c>
      <c r="O15">
        <v>105</v>
      </c>
      <c r="P15">
        <v>109.1</v>
      </c>
      <c r="Q15">
        <v>111.3</v>
      </c>
      <c r="R15">
        <v>111.1</v>
      </c>
      <c r="S15">
        <v>109.8</v>
      </c>
      <c r="T15">
        <v>108.5</v>
      </c>
      <c r="U15">
        <v>106.7</v>
      </c>
      <c r="V15">
        <v>108.3</v>
      </c>
      <c r="W15">
        <v>100.5</v>
      </c>
      <c r="X15">
        <v>107.2</v>
      </c>
      <c r="Y15">
        <v>107.1</v>
      </c>
      <c r="Z15">
        <v>106.2</v>
      </c>
      <c r="AA15">
        <v>103.9</v>
      </c>
      <c r="AB15">
        <v>104.6</v>
      </c>
      <c r="AC15">
        <v>105.7</v>
      </c>
      <c r="AD15">
        <v>102.6</v>
      </c>
      <c r="AE15">
        <v>104.9</v>
      </c>
      <c r="AF15">
        <v>106.6</v>
      </c>
    </row>
    <row r="16" spans="1:32">
      <c r="A16" t="s">
        <v>35</v>
      </c>
      <c r="B16">
        <v>2013</v>
      </c>
      <c r="C16" t="s">
        <v>41</v>
      </c>
      <c r="D16">
        <v>5</v>
      </c>
      <c r="E16" s="1">
        <v>41395</v>
      </c>
      <c r="F16">
        <v>112.3</v>
      </c>
      <c r="G16">
        <v>111.3</v>
      </c>
      <c r="H16">
        <v>104.7</v>
      </c>
      <c r="I16">
        <v>106.8</v>
      </c>
      <c r="J16">
        <v>103.9</v>
      </c>
      <c r="K16">
        <v>109.3</v>
      </c>
      <c r="L16">
        <v>112.9</v>
      </c>
      <c r="M16">
        <v>105.8</v>
      </c>
      <c r="N16">
        <v>103.1</v>
      </c>
      <c r="O16">
        <v>104.3</v>
      </c>
      <c r="P16">
        <v>108.1</v>
      </c>
      <c r="Q16">
        <v>110.5</v>
      </c>
      <c r="R16">
        <v>109.2</v>
      </c>
      <c r="S16">
        <v>108.6</v>
      </c>
      <c r="T16">
        <v>108.7</v>
      </c>
      <c r="U16">
        <v>107.4</v>
      </c>
      <c r="V16">
        <v>108.5</v>
      </c>
      <c r="W16">
        <v>100.5</v>
      </c>
      <c r="X16">
        <v>107.4</v>
      </c>
      <c r="Y16">
        <v>106.9</v>
      </c>
      <c r="Z16">
        <v>105.9</v>
      </c>
      <c r="AA16">
        <v>104</v>
      </c>
      <c r="AB16">
        <v>104.8</v>
      </c>
      <c r="AC16">
        <v>105.6</v>
      </c>
      <c r="AD16">
        <v>102.3</v>
      </c>
      <c r="AE16">
        <v>104.8</v>
      </c>
      <c r="AF16">
        <v>106.9</v>
      </c>
    </row>
    <row r="17" spans="1:32">
      <c r="A17" t="s">
        <v>30</v>
      </c>
      <c r="B17">
        <v>2013</v>
      </c>
      <c r="C17" t="s">
        <v>42</v>
      </c>
      <c r="D17">
        <v>6</v>
      </c>
      <c r="E17" s="1">
        <v>41426</v>
      </c>
      <c r="F17">
        <v>112.3</v>
      </c>
      <c r="G17">
        <v>112.1</v>
      </c>
      <c r="H17">
        <v>108.1</v>
      </c>
      <c r="I17">
        <v>108.3</v>
      </c>
      <c r="J17">
        <v>105.9</v>
      </c>
      <c r="K17">
        <v>109.2</v>
      </c>
      <c r="L17">
        <v>118</v>
      </c>
      <c r="M17">
        <v>106.8</v>
      </c>
      <c r="N17">
        <v>104.1</v>
      </c>
      <c r="O17">
        <v>105.4</v>
      </c>
      <c r="P17">
        <v>108.2</v>
      </c>
      <c r="Q17">
        <v>111</v>
      </c>
      <c r="R17">
        <v>110.6</v>
      </c>
      <c r="S17">
        <v>109</v>
      </c>
      <c r="T17">
        <v>109.7</v>
      </c>
      <c r="U17">
        <v>108.8</v>
      </c>
      <c r="V17">
        <v>109.5</v>
      </c>
      <c r="X17">
        <v>108.5</v>
      </c>
      <c r="Y17">
        <v>107.5</v>
      </c>
      <c r="Z17">
        <v>106.3</v>
      </c>
      <c r="AA17">
        <v>105</v>
      </c>
      <c r="AB17">
        <v>105.6</v>
      </c>
      <c r="AC17">
        <v>106.5</v>
      </c>
      <c r="AD17">
        <v>102.5</v>
      </c>
      <c r="AE17">
        <v>105.5</v>
      </c>
      <c r="AF17">
        <v>108.9</v>
      </c>
    </row>
    <row r="18" spans="1:32">
      <c r="A18" t="s">
        <v>33</v>
      </c>
      <c r="B18">
        <v>2013</v>
      </c>
      <c r="C18" t="s">
        <v>42</v>
      </c>
      <c r="D18">
        <v>6</v>
      </c>
      <c r="E18" s="1">
        <v>41426</v>
      </c>
      <c r="F18">
        <v>117</v>
      </c>
      <c r="G18">
        <v>120.1</v>
      </c>
      <c r="H18">
        <v>112.5</v>
      </c>
      <c r="I18">
        <v>107.3</v>
      </c>
      <c r="J18">
        <v>101.3</v>
      </c>
      <c r="K18">
        <v>112.4</v>
      </c>
      <c r="L18">
        <v>143.6</v>
      </c>
      <c r="M18">
        <v>105.4</v>
      </c>
      <c r="N18">
        <v>101.4</v>
      </c>
      <c r="O18">
        <v>106.4</v>
      </c>
      <c r="P18">
        <v>110</v>
      </c>
      <c r="Q18">
        <v>112.2</v>
      </c>
      <c r="R18">
        <v>115</v>
      </c>
      <c r="S18">
        <v>110.9</v>
      </c>
      <c r="T18">
        <v>109.2</v>
      </c>
      <c r="U18">
        <v>107.2</v>
      </c>
      <c r="V18">
        <v>108.9</v>
      </c>
      <c r="W18">
        <v>106.6</v>
      </c>
      <c r="X18">
        <v>108</v>
      </c>
      <c r="Y18">
        <v>107.7</v>
      </c>
      <c r="Z18">
        <v>106.5</v>
      </c>
      <c r="AA18">
        <v>105.2</v>
      </c>
      <c r="AB18">
        <v>105.2</v>
      </c>
      <c r="AC18">
        <v>108.1</v>
      </c>
      <c r="AD18">
        <v>103.3</v>
      </c>
      <c r="AE18">
        <v>106.1</v>
      </c>
      <c r="AF18">
        <v>109.7</v>
      </c>
    </row>
    <row r="19" spans="1:32">
      <c r="A19" t="s">
        <v>35</v>
      </c>
      <c r="B19">
        <v>2013</v>
      </c>
      <c r="C19" t="s">
        <v>42</v>
      </c>
      <c r="D19">
        <v>6</v>
      </c>
      <c r="E19" s="1">
        <v>41426</v>
      </c>
      <c r="F19">
        <v>113.8</v>
      </c>
      <c r="G19">
        <v>114.9</v>
      </c>
      <c r="H19">
        <v>109.8</v>
      </c>
      <c r="I19">
        <v>107.9</v>
      </c>
      <c r="J19">
        <v>104.2</v>
      </c>
      <c r="K19">
        <v>110.7</v>
      </c>
      <c r="L19">
        <v>126.7</v>
      </c>
      <c r="M19">
        <v>106.3</v>
      </c>
      <c r="N19">
        <v>103.2</v>
      </c>
      <c r="O19">
        <v>105.7</v>
      </c>
      <c r="P19">
        <v>109</v>
      </c>
      <c r="Q19">
        <v>111.6</v>
      </c>
      <c r="R19">
        <v>112.2</v>
      </c>
      <c r="S19">
        <v>109.5</v>
      </c>
      <c r="T19">
        <v>109.5</v>
      </c>
      <c r="U19">
        <v>108.1</v>
      </c>
      <c r="V19">
        <v>109.3</v>
      </c>
      <c r="W19">
        <v>106.6</v>
      </c>
      <c r="X19">
        <v>108.3</v>
      </c>
      <c r="Y19">
        <v>107.6</v>
      </c>
      <c r="Z19">
        <v>106.4</v>
      </c>
      <c r="AA19">
        <v>105.1</v>
      </c>
      <c r="AB19">
        <v>105.4</v>
      </c>
      <c r="AC19">
        <v>107.4</v>
      </c>
      <c r="AD19">
        <v>102.8</v>
      </c>
      <c r="AE19">
        <v>105.8</v>
      </c>
      <c r="AF19">
        <v>109.3</v>
      </c>
    </row>
    <row r="20" spans="1:32">
      <c r="A20" t="s">
        <v>30</v>
      </c>
      <c r="B20">
        <v>2013</v>
      </c>
      <c r="C20" t="s">
        <v>44</v>
      </c>
      <c r="D20">
        <v>7</v>
      </c>
      <c r="E20" s="1">
        <v>41456</v>
      </c>
      <c r="F20">
        <v>113.4</v>
      </c>
      <c r="G20">
        <v>114.9</v>
      </c>
      <c r="H20">
        <v>110.5</v>
      </c>
      <c r="I20">
        <v>109.3</v>
      </c>
      <c r="J20">
        <v>106.2</v>
      </c>
      <c r="K20">
        <v>110.3</v>
      </c>
      <c r="L20">
        <v>129.19999999999999</v>
      </c>
      <c r="M20">
        <v>107.1</v>
      </c>
      <c r="N20">
        <v>104.3</v>
      </c>
      <c r="O20">
        <v>106.4</v>
      </c>
      <c r="P20">
        <v>109.1</v>
      </c>
      <c r="Q20">
        <v>112.1</v>
      </c>
      <c r="R20">
        <v>113.1</v>
      </c>
      <c r="S20">
        <v>109.8</v>
      </c>
      <c r="T20">
        <v>110.5</v>
      </c>
      <c r="U20">
        <v>109.5</v>
      </c>
      <c r="V20">
        <v>110.3</v>
      </c>
      <c r="X20">
        <v>109.5</v>
      </c>
      <c r="Y20">
        <v>108.3</v>
      </c>
      <c r="Z20">
        <v>106.9</v>
      </c>
      <c r="AA20">
        <v>106.8</v>
      </c>
      <c r="AB20">
        <v>106.4</v>
      </c>
      <c r="AC20">
        <v>107.8</v>
      </c>
      <c r="AD20">
        <v>102.5</v>
      </c>
      <c r="AE20">
        <v>106.5</v>
      </c>
      <c r="AF20">
        <v>110.7</v>
      </c>
    </row>
    <row r="21" spans="1:32">
      <c r="A21" t="s">
        <v>33</v>
      </c>
      <c r="B21">
        <v>2013</v>
      </c>
      <c r="C21" t="s">
        <v>44</v>
      </c>
      <c r="D21">
        <v>7</v>
      </c>
      <c r="E21" s="1">
        <v>41456</v>
      </c>
      <c r="F21">
        <v>117.8</v>
      </c>
      <c r="G21">
        <v>119.2</v>
      </c>
      <c r="H21">
        <v>114</v>
      </c>
      <c r="I21">
        <v>108.3</v>
      </c>
      <c r="J21">
        <v>101.1</v>
      </c>
      <c r="K21">
        <v>113.2</v>
      </c>
      <c r="L21">
        <v>160.9</v>
      </c>
      <c r="M21">
        <v>105.1</v>
      </c>
      <c r="N21">
        <v>101.3</v>
      </c>
      <c r="O21">
        <v>107.5</v>
      </c>
      <c r="P21">
        <v>110.4</v>
      </c>
      <c r="Q21">
        <v>113.1</v>
      </c>
      <c r="R21">
        <v>117.5</v>
      </c>
      <c r="S21">
        <v>111.7</v>
      </c>
      <c r="T21">
        <v>109.8</v>
      </c>
      <c r="U21">
        <v>107.8</v>
      </c>
      <c r="V21">
        <v>109.5</v>
      </c>
      <c r="W21">
        <v>107.7</v>
      </c>
      <c r="X21">
        <v>108.6</v>
      </c>
      <c r="Y21">
        <v>108.1</v>
      </c>
      <c r="Z21">
        <v>107.1</v>
      </c>
      <c r="AA21">
        <v>107.3</v>
      </c>
      <c r="AB21">
        <v>105.9</v>
      </c>
      <c r="AC21">
        <v>110.1</v>
      </c>
      <c r="AD21">
        <v>103.2</v>
      </c>
      <c r="AE21">
        <v>107.3</v>
      </c>
      <c r="AF21">
        <v>111.4</v>
      </c>
    </row>
    <row r="22" spans="1:32">
      <c r="A22" t="s">
        <v>35</v>
      </c>
      <c r="B22">
        <v>2013</v>
      </c>
      <c r="C22" t="s">
        <v>44</v>
      </c>
      <c r="D22">
        <v>7</v>
      </c>
      <c r="E22" s="1">
        <v>41456</v>
      </c>
      <c r="F22">
        <v>114.8</v>
      </c>
      <c r="G22">
        <v>116.4</v>
      </c>
      <c r="H22">
        <v>111.9</v>
      </c>
      <c r="I22">
        <v>108.9</v>
      </c>
      <c r="J22">
        <v>104.3</v>
      </c>
      <c r="K22">
        <v>111.7</v>
      </c>
      <c r="L22">
        <v>140</v>
      </c>
      <c r="M22">
        <v>106.4</v>
      </c>
      <c r="N22">
        <v>103.3</v>
      </c>
      <c r="O22">
        <v>106.8</v>
      </c>
      <c r="P22">
        <v>109.6</v>
      </c>
      <c r="Q22">
        <v>112.6</v>
      </c>
      <c r="R22">
        <v>114.7</v>
      </c>
      <c r="S22">
        <v>110.3</v>
      </c>
      <c r="T22">
        <v>110.2</v>
      </c>
      <c r="U22">
        <v>108.8</v>
      </c>
      <c r="V22">
        <v>110</v>
      </c>
      <c r="W22">
        <v>107.7</v>
      </c>
      <c r="X22">
        <v>109.2</v>
      </c>
      <c r="Y22">
        <v>108.2</v>
      </c>
      <c r="Z22">
        <v>107</v>
      </c>
      <c r="AA22">
        <v>107.1</v>
      </c>
      <c r="AB22">
        <v>106.1</v>
      </c>
      <c r="AC22">
        <v>109.1</v>
      </c>
      <c r="AD22">
        <v>102.8</v>
      </c>
      <c r="AE22">
        <v>106.9</v>
      </c>
      <c r="AF22">
        <v>111</v>
      </c>
    </row>
    <row r="23" spans="1:32">
      <c r="A23" t="s">
        <v>30</v>
      </c>
      <c r="B23">
        <v>2013</v>
      </c>
      <c r="C23" t="s">
        <v>46</v>
      </c>
      <c r="D23">
        <v>8</v>
      </c>
      <c r="E23" s="1">
        <v>41487</v>
      </c>
      <c r="F23">
        <v>114.3</v>
      </c>
      <c r="G23">
        <v>115.4</v>
      </c>
      <c r="H23">
        <v>111.1</v>
      </c>
      <c r="I23">
        <v>110</v>
      </c>
      <c r="J23">
        <v>106.4</v>
      </c>
      <c r="K23">
        <v>110.8</v>
      </c>
      <c r="L23">
        <v>138.9</v>
      </c>
      <c r="M23">
        <v>107.4</v>
      </c>
      <c r="N23">
        <v>104.1</v>
      </c>
      <c r="O23">
        <v>106.9</v>
      </c>
      <c r="P23">
        <v>109.7</v>
      </c>
      <c r="Q23">
        <v>112.6</v>
      </c>
      <c r="R23">
        <v>114.9</v>
      </c>
      <c r="S23">
        <v>110.7</v>
      </c>
      <c r="T23">
        <v>111.3</v>
      </c>
      <c r="U23">
        <v>110.2</v>
      </c>
      <c r="V23">
        <v>111.1</v>
      </c>
      <c r="X23">
        <v>109.9</v>
      </c>
      <c r="Y23">
        <v>108.7</v>
      </c>
      <c r="Z23">
        <v>107.5</v>
      </c>
      <c r="AA23">
        <v>107.8</v>
      </c>
      <c r="AB23">
        <v>106.8</v>
      </c>
      <c r="AC23">
        <v>108.7</v>
      </c>
      <c r="AD23">
        <v>105</v>
      </c>
      <c r="AE23">
        <v>107.5</v>
      </c>
      <c r="AF23">
        <v>112.1</v>
      </c>
    </row>
    <row r="24" spans="1:32">
      <c r="A24" t="s">
        <v>33</v>
      </c>
      <c r="B24">
        <v>2013</v>
      </c>
      <c r="C24" t="s">
        <v>46</v>
      </c>
      <c r="D24">
        <v>8</v>
      </c>
      <c r="E24" s="1">
        <v>41487</v>
      </c>
      <c r="F24">
        <v>118.3</v>
      </c>
      <c r="G24">
        <v>120.4</v>
      </c>
      <c r="H24">
        <v>112.7</v>
      </c>
      <c r="I24">
        <v>108.9</v>
      </c>
      <c r="J24">
        <v>101.1</v>
      </c>
      <c r="K24">
        <v>108.7</v>
      </c>
      <c r="L24">
        <v>177</v>
      </c>
      <c r="M24">
        <v>104.7</v>
      </c>
      <c r="N24">
        <v>101</v>
      </c>
      <c r="O24">
        <v>108.5</v>
      </c>
      <c r="P24">
        <v>110.9</v>
      </c>
      <c r="Q24">
        <v>114.3</v>
      </c>
      <c r="R24">
        <v>119.6</v>
      </c>
      <c r="S24">
        <v>112.4</v>
      </c>
      <c r="T24">
        <v>110.6</v>
      </c>
      <c r="U24">
        <v>108.3</v>
      </c>
      <c r="V24">
        <v>110.2</v>
      </c>
      <c r="W24">
        <v>108.9</v>
      </c>
      <c r="X24">
        <v>109.3</v>
      </c>
      <c r="Y24">
        <v>108.7</v>
      </c>
      <c r="Z24">
        <v>107.6</v>
      </c>
      <c r="AA24">
        <v>108.1</v>
      </c>
      <c r="AB24">
        <v>106.5</v>
      </c>
      <c r="AC24">
        <v>110.8</v>
      </c>
      <c r="AD24">
        <v>106</v>
      </c>
      <c r="AE24">
        <v>108.3</v>
      </c>
      <c r="AF24">
        <v>112.7</v>
      </c>
    </row>
    <row r="25" spans="1:32">
      <c r="A25" t="s">
        <v>35</v>
      </c>
      <c r="B25">
        <v>2013</v>
      </c>
      <c r="C25" t="s">
        <v>46</v>
      </c>
      <c r="D25">
        <v>8</v>
      </c>
      <c r="E25" s="1">
        <v>41487</v>
      </c>
      <c r="F25">
        <v>115.6</v>
      </c>
      <c r="G25">
        <v>117.2</v>
      </c>
      <c r="H25">
        <v>111.7</v>
      </c>
      <c r="I25">
        <v>109.6</v>
      </c>
      <c r="J25">
        <v>104.5</v>
      </c>
      <c r="K25">
        <v>109.8</v>
      </c>
      <c r="L25">
        <v>151.80000000000001</v>
      </c>
      <c r="M25">
        <v>106.5</v>
      </c>
      <c r="N25">
        <v>103.1</v>
      </c>
      <c r="O25">
        <v>107.4</v>
      </c>
      <c r="P25">
        <v>110.2</v>
      </c>
      <c r="Q25">
        <v>113.4</v>
      </c>
      <c r="R25">
        <v>116.6</v>
      </c>
      <c r="S25">
        <v>111.2</v>
      </c>
      <c r="T25">
        <v>111</v>
      </c>
      <c r="U25">
        <v>109.4</v>
      </c>
      <c r="V25">
        <v>110.7</v>
      </c>
      <c r="W25">
        <v>108.9</v>
      </c>
      <c r="X25">
        <v>109.7</v>
      </c>
      <c r="Y25">
        <v>108.7</v>
      </c>
      <c r="Z25">
        <v>107.5</v>
      </c>
      <c r="AA25">
        <v>108</v>
      </c>
      <c r="AB25">
        <v>106.6</v>
      </c>
      <c r="AC25">
        <v>109.9</v>
      </c>
      <c r="AD25">
        <v>105.4</v>
      </c>
      <c r="AE25">
        <v>107.9</v>
      </c>
      <c r="AF25">
        <v>112.4</v>
      </c>
    </row>
    <row r="26" spans="1:32">
      <c r="A26" t="s">
        <v>30</v>
      </c>
      <c r="B26">
        <v>2013</v>
      </c>
      <c r="C26" t="s">
        <v>48</v>
      </c>
      <c r="D26">
        <v>9</v>
      </c>
      <c r="E26" s="1">
        <v>41518</v>
      </c>
      <c r="F26">
        <v>115.4</v>
      </c>
      <c r="G26">
        <v>115.7</v>
      </c>
      <c r="H26">
        <v>111.7</v>
      </c>
      <c r="I26">
        <v>111</v>
      </c>
      <c r="J26">
        <v>107.4</v>
      </c>
      <c r="K26">
        <v>110.9</v>
      </c>
      <c r="L26">
        <v>154</v>
      </c>
      <c r="M26">
        <v>108.1</v>
      </c>
      <c r="N26">
        <v>104.2</v>
      </c>
      <c r="O26">
        <v>107.9</v>
      </c>
      <c r="P26">
        <v>110.4</v>
      </c>
      <c r="Q26">
        <v>114</v>
      </c>
      <c r="R26">
        <v>117.8</v>
      </c>
      <c r="S26">
        <v>111.7</v>
      </c>
      <c r="T26">
        <v>112.7</v>
      </c>
      <c r="U26">
        <v>111.4</v>
      </c>
      <c r="V26">
        <v>112.5</v>
      </c>
      <c r="X26">
        <v>111.1</v>
      </c>
      <c r="Y26">
        <v>109.6</v>
      </c>
      <c r="Z26">
        <v>108.3</v>
      </c>
      <c r="AA26">
        <v>109.3</v>
      </c>
      <c r="AB26">
        <v>107.7</v>
      </c>
      <c r="AC26">
        <v>109.8</v>
      </c>
      <c r="AD26">
        <v>106.7</v>
      </c>
      <c r="AE26">
        <v>108.7</v>
      </c>
      <c r="AF26">
        <v>114.2</v>
      </c>
    </row>
    <row r="27" spans="1:32">
      <c r="A27" t="s">
        <v>33</v>
      </c>
      <c r="B27">
        <v>2013</v>
      </c>
      <c r="C27" t="s">
        <v>48</v>
      </c>
      <c r="D27">
        <v>9</v>
      </c>
      <c r="E27" s="1">
        <v>41518</v>
      </c>
      <c r="F27">
        <v>118.6</v>
      </c>
      <c r="G27">
        <v>119.1</v>
      </c>
      <c r="H27">
        <v>113.2</v>
      </c>
      <c r="I27">
        <v>109.6</v>
      </c>
      <c r="J27">
        <v>101.7</v>
      </c>
      <c r="K27">
        <v>103.2</v>
      </c>
      <c r="L27">
        <v>174.3</v>
      </c>
      <c r="M27">
        <v>105.1</v>
      </c>
      <c r="N27">
        <v>100.8</v>
      </c>
      <c r="O27">
        <v>109.1</v>
      </c>
      <c r="P27">
        <v>111.1</v>
      </c>
      <c r="Q27">
        <v>115.4</v>
      </c>
      <c r="R27">
        <v>119.2</v>
      </c>
      <c r="S27">
        <v>112.9</v>
      </c>
      <c r="T27">
        <v>111.4</v>
      </c>
      <c r="U27">
        <v>109</v>
      </c>
      <c r="V27">
        <v>111.1</v>
      </c>
      <c r="W27">
        <v>109.7</v>
      </c>
      <c r="X27">
        <v>109.5</v>
      </c>
      <c r="Y27">
        <v>109.6</v>
      </c>
      <c r="Z27">
        <v>107.9</v>
      </c>
      <c r="AA27">
        <v>110.4</v>
      </c>
      <c r="AB27">
        <v>107.4</v>
      </c>
      <c r="AC27">
        <v>111.2</v>
      </c>
      <c r="AD27">
        <v>106.9</v>
      </c>
      <c r="AE27">
        <v>109.4</v>
      </c>
      <c r="AF27">
        <v>113.2</v>
      </c>
    </row>
    <row r="28" spans="1:32">
      <c r="A28" t="s">
        <v>35</v>
      </c>
      <c r="B28">
        <v>2013</v>
      </c>
      <c r="C28" t="s">
        <v>48</v>
      </c>
      <c r="D28">
        <v>9</v>
      </c>
      <c r="E28" s="1">
        <v>41518</v>
      </c>
      <c r="F28">
        <v>116.4</v>
      </c>
      <c r="G28">
        <v>116.9</v>
      </c>
      <c r="H28">
        <v>112.3</v>
      </c>
      <c r="I28">
        <v>110.5</v>
      </c>
      <c r="J28">
        <v>105.3</v>
      </c>
      <c r="K28">
        <v>107.3</v>
      </c>
      <c r="L28">
        <v>160.9</v>
      </c>
      <c r="M28">
        <v>107.1</v>
      </c>
      <c r="N28">
        <v>103.1</v>
      </c>
      <c r="O28">
        <v>108.3</v>
      </c>
      <c r="P28">
        <v>110.7</v>
      </c>
      <c r="Q28">
        <v>114.6</v>
      </c>
      <c r="R28">
        <v>118.3</v>
      </c>
      <c r="S28">
        <v>112</v>
      </c>
      <c r="T28">
        <v>112.2</v>
      </c>
      <c r="U28">
        <v>110.4</v>
      </c>
      <c r="V28">
        <v>111.9</v>
      </c>
      <c r="W28">
        <v>109.7</v>
      </c>
      <c r="X28">
        <v>110.5</v>
      </c>
      <c r="Y28">
        <v>109.6</v>
      </c>
      <c r="Z28">
        <v>108.1</v>
      </c>
      <c r="AA28">
        <v>109.9</v>
      </c>
      <c r="AB28">
        <v>107.5</v>
      </c>
      <c r="AC28">
        <v>110.6</v>
      </c>
      <c r="AD28">
        <v>106.8</v>
      </c>
      <c r="AE28">
        <v>109</v>
      </c>
      <c r="AF28">
        <v>113.7</v>
      </c>
    </row>
    <row r="29" spans="1:32">
      <c r="A29" t="s">
        <v>30</v>
      </c>
      <c r="B29">
        <v>2013</v>
      </c>
      <c r="C29" t="s">
        <v>50</v>
      </c>
      <c r="D29">
        <v>10</v>
      </c>
      <c r="E29" s="1">
        <v>41548</v>
      </c>
      <c r="F29">
        <v>116.3</v>
      </c>
      <c r="G29">
        <v>115.4</v>
      </c>
      <c r="H29">
        <v>112.6</v>
      </c>
      <c r="I29">
        <v>111.7</v>
      </c>
      <c r="J29">
        <v>107.7</v>
      </c>
      <c r="K29">
        <v>113.2</v>
      </c>
      <c r="L29">
        <v>164.9</v>
      </c>
      <c r="M29">
        <v>108.3</v>
      </c>
      <c r="N29">
        <v>103.9</v>
      </c>
      <c r="O29">
        <v>108.2</v>
      </c>
      <c r="P29">
        <v>111.1</v>
      </c>
      <c r="Q29">
        <v>114.9</v>
      </c>
      <c r="R29">
        <v>119.8</v>
      </c>
      <c r="S29">
        <v>112.2</v>
      </c>
      <c r="T29">
        <v>113.6</v>
      </c>
      <c r="U29">
        <v>112.3</v>
      </c>
      <c r="V29">
        <v>113.4</v>
      </c>
      <c r="X29">
        <v>111.6</v>
      </c>
      <c r="Y29">
        <v>110.4</v>
      </c>
      <c r="Z29">
        <v>108.9</v>
      </c>
      <c r="AA29">
        <v>109.3</v>
      </c>
      <c r="AB29">
        <v>108.3</v>
      </c>
      <c r="AC29">
        <v>110.2</v>
      </c>
      <c r="AD29">
        <v>107.5</v>
      </c>
      <c r="AE29">
        <v>109.1</v>
      </c>
      <c r="AF29">
        <v>115.5</v>
      </c>
    </row>
    <row r="30" spans="1:32">
      <c r="A30" t="s">
        <v>33</v>
      </c>
      <c r="B30">
        <v>2013</v>
      </c>
      <c r="C30" t="s">
        <v>50</v>
      </c>
      <c r="D30">
        <v>10</v>
      </c>
      <c r="E30" s="1">
        <v>41548</v>
      </c>
      <c r="F30">
        <v>118.9</v>
      </c>
      <c r="G30">
        <v>118.1</v>
      </c>
      <c r="H30">
        <v>114.5</v>
      </c>
      <c r="I30">
        <v>110.4</v>
      </c>
      <c r="J30">
        <v>102.3</v>
      </c>
      <c r="K30">
        <v>106.2</v>
      </c>
      <c r="L30">
        <v>183.5</v>
      </c>
      <c r="M30">
        <v>105.3</v>
      </c>
      <c r="N30">
        <v>100.2</v>
      </c>
      <c r="O30">
        <v>109.6</v>
      </c>
      <c r="P30">
        <v>111.4</v>
      </c>
      <c r="Q30">
        <v>116</v>
      </c>
      <c r="R30">
        <v>120.8</v>
      </c>
      <c r="S30">
        <v>113.5</v>
      </c>
      <c r="T30">
        <v>112.5</v>
      </c>
      <c r="U30">
        <v>109.7</v>
      </c>
      <c r="V30">
        <v>112</v>
      </c>
      <c r="W30">
        <v>110.5</v>
      </c>
      <c r="X30">
        <v>109.7</v>
      </c>
      <c r="Y30">
        <v>110.2</v>
      </c>
      <c r="Z30">
        <v>108.2</v>
      </c>
      <c r="AA30">
        <v>109.7</v>
      </c>
      <c r="AB30">
        <v>108</v>
      </c>
      <c r="AC30">
        <v>111.3</v>
      </c>
      <c r="AD30">
        <v>107.3</v>
      </c>
      <c r="AE30">
        <v>109.4</v>
      </c>
      <c r="AF30">
        <v>114</v>
      </c>
    </row>
    <row r="31" spans="1:32">
      <c r="A31" t="s">
        <v>35</v>
      </c>
      <c r="B31">
        <v>2013</v>
      </c>
      <c r="C31" t="s">
        <v>50</v>
      </c>
      <c r="D31">
        <v>10</v>
      </c>
      <c r="E31" s="1">
        <v>41548</v>
      </c>
      <c r="F31">
        <v>117.1</v>
      </c>
      <c r="G31">
        <v>116.3</v>
      </c>
      <c r="H31">
        <v>113.3</v>
      </c>
      <c r="I31">
        <v>111.2</v>
      </c>
      <c r="J31">
        <v>105.7</v>
      </c>
      <c r="K31">
        <v>109.9</v>
      </c>
      <c r="L31">
        <v>171.2</v>
      </c>
      <c r="M31">
        <v>107.3</v>
      </c>
      <c r="N31">
        <v>102.7</v>
      </c>
      <c r="O31">
        <v>108.7</v>
      </c>
      <c r="P31">
        <v>111.2</v>
      </c>
      <c r="Q31">
        <v>115.4</v>
      </c>
      <c r="R31">
        <v>120.2</v>
      </c>
      <c r="S31">
        <v>112.5</v>
      </c>
      <c r="T31">
        <v>113.2</v>
      </c>
      <c r="U31">
        <v>111.2</v>
      </c>
      <c r="V31">
        <v>112.8</v>
      </c>
      <c r="W31">
        <v>110.5</v>
      </c>
      <c r="X31">
        <v>110.9</v>
      </c>
      <c r="Y31">
        <v>110.3</v>
      </c>
      <c r="Z31">
        <v>108.6</v>
      </c>
      <c r="AA31">
        <v>109.5</v>
      </c>
      <c r="AB31">
        <v>108.1</v>
      </c>
      <c r="AC31">
        <v>110.8</v>
      </c>
      <c r="AD31">
        <v>107.4</v>
      </c>
      <c r="AE31">
        <v>109.2</v>
      </c>
      <c r="AF31">
        <v>114.8</v>
      </c>
    </row>
    <row r="32" spans="1:32">
      <c r="A32" t="s">
        <v>30</v>
      </c>
      <c r="B32">
        <v>2013</v>
      </c>
      <c r="C32" t="s">
        <v>53</v>
      </c>
      <c r="D32">
        <v>11</v>
      </c>
      <c r="E32" s="1">
        <v>41579</v>
      </c>
      <c r="F32">
        <v>117.3</v>
      </c>
      <c r="G32">
        <v>114.9</v>
      </c>
      <c r="H32">
        <v>116.2</v>
      </c>
      <c r="I32">
        <v>112.8</v>
      </c>
      <c r="J32">
        <v>108.9</v>
      </c>
      <c r="K32">
        <v>116.6</v>
      </c>
      <c r="L32">
        <v>178.1</v>
      </c>
      <c r="M32">
        <v>109.1</v>
      </c>
      <c r="N32">
        <v>103.6</v>
      </c>
      <c r="O32">
        <v>109</v>
      </c>
      <c r="P32">
        <v>111.8</v>
      </c>
      <c r="Q32">
        <v>116</v>
      </c>
      <c r="R32">
        <v>122.5</v>
      </c>
      <c r="S32">
        <v>112.8</v>
      </c>
      <c r="T32">
        <v>114.6</v>
      </c>
      <c r="U32">
        <v>113.1</v>
      </c>
      <c r="V32">
        <v>114.4</v>
      </c>
      <c r="X32">
        <v>112.6</v>
      </c>
      <c r="Y32">
        <v>111.3</v>
      </c>
      <c r="Z32">
        <v>109.7</v>
      </c>
      <c r="AA32">
        <v>109.6</v>
      </c>
      <c r="AB32">
        <v>108.7</v>
      </c>
      <c r="AC32">
        <v>111</v>
      </c>
      <c r="AD32">
        <v>108.2</v>
      </c>
      <c r="AE32">
        <v>109.8</v>
      </c>
      <c r="AF32">
        <v>117.4</v>
      </c>
    </row>
    <row r="33" spans="1:32">
      <c r="A33" t="s">
        <v>33</v>
      </c>
      <c r="B33">
        <v>2013</v>
      </c>
      <c r="C33" t="s">
        <v>53</v>
      </c>
      <c r="D33">
        <v>11</v>
      </c>
      <c r="E33" s="1">
        <v>41579</v>
      </c>
      <c r="F33">
        <v>119.8</v>
      </c>
      <c r="G33">
        <v>116.3</v>
      </c>
      <c r="H33">
        <v>122.6</v>
      </c>
      <c r="I33">
        <v>112</v>
      </c>
      <c r="J33">
        <v>103.2</v>
      </c>
      <c r="K33">
        <v>110</v>
      </c>
      <c r="L33">
        <v>192.8</v>
      </c>
      <c r="M33">
        <v>106.3</v>
      </c>
      <c r="N33">
        <v>99.5</v>
      </c>
      <c r="O33">
        <v>110.3</v>
      </c>
      <c r="P33">
        <v>111.8</v>
      </c>
      <c r="Q33">
        <v>117.1</v>
      </c>
      <c r="R33">
        <v>122.9</v>
      </c>
      <c r="S33">
        <v>114.1</v>
      </c>
      <c r="T33">
        <v>113.5</v>
      </c>
      <c r="U33">
        <v>110.3</v>
      </c>
      <c r="V33">
        <v>113</v>
      </c>
      <c r="W33">
        <v>111.1</v>
      </c>
      <c r="X33">
        <v>110</v>
      </c>
      <c r="Y33">
        <v>110.9</v>
      </c>
      <c r="Z33">
        <v>108.6</v>
      </c>
      <c r="AA33">
        <v>109.5</v>
      </c>
      <c r="AB33">
        <v>108.5</v>
      </c>
      <c r="AC33">
        <v>111.3</v>
      </c>
      <c r="AD33">
        <v>107.9</v>
      </c>
      <c r="AE33">
        <v>109.6</v>
      </c>
      <c r="AF33">
        <v>115</v>
      </c>
    </row>
    <row r="34" spans="1:32">
      <c r="A34" t="s">
        <v>35</v>
      </c>
      <c r="B34">
        <v>2013</v>
      </c>
      <c r="C34" t="s">
        <v>53</v>
      </c>
      <c r="D34">
        <v>11</v>
      </c>
      <c r="E34" s="1">
        <v>41579</v>
      </c>
      <c r="F34">
        <v>118.1</v>
      </c>
      <c r="G34">
        <v>115.4</v>
      </c>
      <c r="H34">
        <v>118.7</v>
      </c>
      <c r="I34">
        <v>112.5</v>
      </c>
      <c r="J34">
        <v>106.8</v>
      </c>
      <c r="K34">
        <v>113.5</v>
      </c>
      <c r="L34">
        <v>183.1</v>
      </c>
      <c r="M34">
        <v>108.2</v>
      </c>
      <c r="N34">
        <v>102.2</v>
      </c>
      <c r="O34">
        <v>109.4</v>
      </c>
      <c r="P34">
        <v>111.8</v>
      </c>
      <c r="Q34">
        <v>116.5</v>
      </c>
      <c r="R34">
        <v>122.6</v>
      </c>
      <c r="S34">
        <v>113.1</v>
      </c>
      <c r="T34">
        <v>114.2</v>
      </c>
      <c r="U34">
        <v>111.9</v>
      </c>
      <c r="V34">
        <v>113.8</v>
      </c>
      <c r="W34">
        <v>111.1</v>
      </c>
      <c r="X34">
        <v>111.6</v>
      </c>
      <c r="Y34">
        <v>111.1</v>
      </c>
      <c r="Z34">
        <v>109.3</v>
      </c>
      <c r="AA34">
        <v>109.5</v>
      </c>
      <c r="AB34">
        <v>108.6</v>
      </c>
      <c r="AC34">
        <v>111.2</v>
      </c>
      <c r="AD34">
        <v>108.1</v>
      </c>
      <c r="AE34">
        <v>109.7</v>
      </c>
      <c r="AF34">
        <v>116.3</v>
      </c>
    </row>
    <row r="35" spans="1:32">
      <c r="A35" t="s">
        <v>30</v>
      </c>
      <c r="B35">
        <v>2013</v>
      </c>
      <c r="C35" t="s">
        <v>55</v>
      </c>
      <c r="D35">
        <v>12</v>
      </c>
      <c r="E35" s="1">
        <v>41609</v>
      </c>
      <c r="F35">
        <v>118.4</v>
      </c>
      <c r="G35">
        <v>115.9</v>
      </c>
      <c r="H35">
        <v>120.4</v>
      </c>
      <c r="I35">
        <v>113.8</v>
      </c>
      <c r="J35">
        <v>109.5</v>
      </c>
      <c r="K35">
        <v>115.5</v>
      </c>
      <c r="L35">
        <v>145.69999999999999</v>
      </c>
      <c r="M35">
        <v>109.5</v>
      </c>
      <c r="N35">
        <v>102.9</v>
      </c>
      <c r="O35">
        <v>109.8</v>
      </c>
      <c r="P35">
        <v>112.1</v>
      </c>
      <c r="Q35">
        <v>116.8</v>
      </c>
      <c r="R35">
        <v>118.7</v>
      </c>
      <c r="S35">
        <v>113.6</v>
      </c>
      <c r="T35">
        <v>115.8</v>
      </c>
      <c r="U35">
        <v>114</v>
      </c>
      <c r="V35">
        <v>115.5</v>
      </c>
      <c r="X35">
        <v>112.8</v>
      </c>
      <c r="Y35">
        <v>112.1</v>
      </c>
      <c r="Z35">
        <v>110.1</v>
      </c>
      <c r="AA35">
        <v>109.9</v>
      </c>
      <c r="AB35">
        <v>109.2</v>
      </c>
      <c r="AC35">
        <v>111.6</v>
      </c>
      <c r="AD35">
        <v>108.1</v>
      </c>
      <c r="AE35">
        <v>110.1</v>
      </c>
      <c r="AF35">
        <v>115.5</v>
      </c>
    </row>
    <row r="36" spans="1:32">
      <c r="A36" t="s">
        <v>33</v>
      </c>
      <c r="B36">
        <v>2013</v>
      </c>
      <c r="C36" t="s">
        <v>55</v>
      </c>
      <c r="D36">
        <v>12</v>
      </c>
      <c r="E36" s="1">
        <v>41609</v>
      </c>
      <c r="F36">
        <v>120.5</v>
      </c>
      <c r="G36">
        <v>118.1</v>
      </c>
      <c r="H36">
        <v>128.5</v>
      </c>
      <c r="I36">
        <v>112.8</v>
      </c>
      <c r="J36">
        <v>103.4</v>
      </c>
      <c r="K36">
        <v>110.7</v>
      </c>
      <c r="L36">
        <v>144.80000000000001</v>
      </c>
      <c r="M36">
        <v>107.1</v>
      </c>
      <c r="N36">
        <v>98.6</v>
      </c>
      <c r="O36">
        <v>111.9</v>
      </c>
      <c r="P36">
        <v>112.1</v>
      </c>
      <c r="Q36">
        <v>118.1</v>
      </c>
      <c r="R36">
        <v>117.8</v>
      </c>
      <c r="S36">
        <v>115</v>
      </c>
      <c r="T36">
        <v>114.2</v>
      </c>
      <c r="U36">
        <v>110.9</v>
      </c>
      <c r="V36">
        <v>113.7</v>
      </c>
      <c r="W36">
        <v>110.7</v>
      </c>
      <c r="X36">
        <v>110.4</v>
      </c>
      <c r="Y36">
        <v>111.3</v>
      </c>
      <c r="Z36">
        <v>109</v>
      </c>
      <c r="AA36">
        <v>109.7</v>
      </c>
      <c r="AB36">
        <v>108.9</v>
      </c>
      <c r="AC36">
        <v>111.4</v>
      </c>
      <c r="AD36">
        <v>107.7</v>
      </c>
      <c r="AE36">
        <v>109.8</v>
      </c>
      <c r="AF36">
        <v>113.3</v>
      </c>
    </row>
    <row r="37" spans="1:32">
      <c r="A37" t="s">
        <v>35</v>
      </c>
      <c r="B37">
        <v>2013</v>
      </c>
      <c r="C37" t="s">
        <v>55</v>
      </c>
      <c r="D37">
        <v>12</v>
      </c>
      <c r="E37" s="1">
        <v>41609</v>
      </c>
      <c r="F37">
        <v>119.1</v>
      </c>
      <c r="G37">
        <v>116.7</v>
      </c>
      <c r="H37">
        <v>123.5</v>
      </c>
      <c r="I37">
        <v>113.4</v>
      </c>
      <c r="J37">
        <v>107.3</v>
      </c>
      <c r="K37">
        <v>113.3</v>
      </c>
      <c r="L37">
        <v>145.4</v>
      </c>
      <c r="M37">
        <v>108.7</v>
      </c>
      <c r="N37">
        <v>101.5</v>
      </c>
      <c r="O37">
        <v>110.5</v>
      </c>
      <c r="P37">
        <v>112.1</v>
      </c>
      <c r="Q37">
        <v>117.4</v>
      </c>
      <c r="R37">
        <v>118.4</v>
      </c>
      <c r="S37">
        <v>114</v>
      </c>
      <c r="T37">
        <v>115.2</v>
      </c>
      <c r="U37">
        <v>112.7</v>
      </c>
      <c r="V37">
        <v>114.8</v>
      </c>
      <c r="W37">
        <v>110.7</v>
      </c>
      <c r="X37">
        <v>111.9</v>
      </c>
      <c r="Y37">
        <v>111.7</v>
      </c>
      <c r="Z37">
        <v>109.7</v>
      </c>
      <c r="AA37">
        <v>109.8</v>
      </c>
      <c r="AB37">
        <v>109</v>
      </c>
      <c r="AC37">
        <v>111.5</v>
      </c>
      <c r="AD37">
        <v>107.9</v>
      </c>
      <c r="AE37">
        <v>110</v>
      </c>
      <c r="AF37">
        <v>114.5</v>
      </c>
    </row>
    <row r="38" spans="1:32">
      <c r="A38" t="s">
        <v>30</v>
      </c>
      <c r="B38">
        <v>2014</v>
      </c>
      <c r="C38" t="s">
        <v>31</v>
      </c>
      <c r="D38">
        <v>1</v>
      </c>
      <c r="E38" s="1">
        <v>41640</v>
      </c>
      <c r="F38">
        <v>118.9</v>
      </c>
      <c r="G38">
        <v>117.1</v>
      </c>
      <c r="H38">
        <v>120.5</v>
      </c>
      <c r="I38">
        <v>114.4</v>
      </c>
      <c r="J38">
        <v>109</v>
      </c>
      <c r="K38">
        <v>115.5</v>
      </c>
      <c r="L38">
        <v>123.9</v>
      </c>
      <c r="M38">
        <v>109.6</v>
      </c>
      <c r="N38">
        <v>101.8</v>
      </c>
      <c r="O38">
        <v>110.2</v>
      </c>
      <c r="P38">
        <v>112.4</v>
      </c>
      <c r="Q38">
        <v>117.3</v>
      </c>
      <c r="R38">
        <v>116</v>
      </c>
      <c r="S38">
        <v>114</v>
      </c>
      <c r="T38">
        <v>116.5</v>
      </c>
      <c r="U38">
        <v>114.5</v>
      </c>
      <c r="V38">
        <v>116.2</v>
      </c>
      <c r="X38">
        <v>113</v>
      </c>
      <c r="Y38">
        <v>112.6</v>
      </c>
      <c r="Z38">
        <v>110.6</v>
      </c>
      <c r="AA38">
        <v>110.5</v>
      </c>
      <c r="AB38">
        <v>109.6</v>
      </c>
      <c r="AC38">
        <v>111.8</v>
      </c>
      <c r="AD38">
        <v>108.3</v>
      </c>
      <c r="AE38">
        <v>110.6</v>
      </c>
      <c r="AF38">
        <v>114.2</v>
      </c>
    </row>
    <row r="39" spans="1:32">
      <c r="A39" t="s">
        <v>33</v>
      </c>
      <c r="B39">
        <v>2014</v>
      </c>
      <c r="C39" t="s">
        <v>31</v>
      </c>
      <c r="D39">
        <v>1</v>
      </c>
      <c r="E39" s="1">
        <v>41640</v>
      </c>
      <c r="F39">
        <v>121.2</v>
      </c>
      <c r="G39">
        <v>122</v>
      </c>
      <c r="H39">
        <v>129.9</v>
      </c>
      <c r="I39">
        <v>113.6</v>
      </c>
      <c r="J39">
        <v>102.9</v>
      </c>
      <c r="K39">
        <v>112.1</v>
      </c>
      <c r="L39">
        <v>118.9</v>
      </c>
      <c r="M39">
        <v>107.5</v>
      </c>
      <c r="N39">
        <v>96.9</v>
      </c>
      <c r="O39">
        <v>112.7</v>
      </c>
      <c r="P39">
        <v>112.1</v>
      </c>
      <c r="Q39">
        <v>119</v>
      </c>
      <c r="R39">
        <v>115.5</v>
      </c>
      <c r="S39">
        <v>115.7</v>
      </c>
      <c r="T39">
        <v>114.8</v>
      </c>
      <c r="U39">
        <v>111.3</v>
      </c>
      <c r="V39">
        <v>114.3</v>
      </c>
      <c r="W39">
        <v>111.6</v>
      </c>
      <c r="X39">
        <v>111</v>
      </c>
      <c r="Y39">
        <v>111.9</v>
      </c>
      <c r="Z39">
        <v>109.7</v>
      </c>
      <c r="AA39">
        <v>110.8</v>
      </c>
      <c r="AB39">
        <v>109.8</v>
      </c>
      <c r="AC39">
        <v>111.5</v>
      </c>
      <c r="AD39">
        <v>108</v>
      </c>
      <c r="AE39">
        <v>110.5</v>
      </c>
      <c r="AF39">
        <v>112.9</v>
      </c>
    </row>
    <row r="40" spans="1:32">
      <c r="A40" t="s">
        <v>35</v>
      </c>
      <c r="B40">
        <v>2014</v>
      </c>
      <c r="C40" t="s">
        <v>31</v>
      </c>
      <c r="D40">
        <v>1</v>
      </c>
      <c r="E40" s="1">
        <v>41640</v>
      </c>
      <c r="F40">
        <v>119.6</v>
      </c>
      <c r="G40">
        <v>118.8</v>
      </c>
      <c r="H40">
        <v>124.1</v>
      </c>
      <c r="I40">
        <v>114.1</v>
      </c>
      <c r="J40">
        <v>106.8</v>
      </c>
      <c r="K40">
        <v>113.9</v>
      </c>
      <c r="L40">
        <v>122.2</v>
      </c>
      <c r="M40">
        <v>108.9</v>
      </c>
      <c r="N40">
        <v>100.2</v>
      </c>
      <c r="O40">
        <v>111</v>
      </c>
      <c r="P40">
        <v>112.3</v>
      </c>
      <c r="Q40">
        <v>118.1</v>
      </c>
      <c r="R40">
        <v>115.8</v>
      </c>
      <c r="S40">
        <v>114.5</v>
      </c>
      <c r="T40">
        <v>115.8</v>
      </c>
      <c r="U40">
        <v>113.2</v>
      </c>
      <c r="V40">
        <v>115.4</v>
      </c>
      <c r="W40">
        <v>111.6</v>
      </c>
      <c r="X40">
        <v>112.2</v>
      </c>
      <c r="Y40">
        <v>112.3</v>
      </c>
      <c r="Z40">
        <v>110.3</v>
      </c>
      <c r="AA40">
        <v>110.7</v>
      </c>
      <c r="AB40">
        <v>109.7</v>
      </c>
      <c r="AC40">
        <v>111.6</v>
      </c>
      <c r="AD40">
        <v>108.2</v>
      </c>
      <c r="AE40">
        <v>110.6</v>
      </c>
      <c r="AF40">
        <v>113.6</v>
      </c>
    </row>
    <row r="41" spans="1:32">
      <c r="A41" t="s">
        <v>30</v>
      </c>
      <c r="B41">
        <v>2014</v>
      </c>
      <c r="C41" t="s">
        <v>36</v>
      </c>
      <c r="D41">
        <v>2</v>
      </c>
      <c r="E41" s="1">
        <v>41671</v>
      </c>
      <c r="F41">
        <v>119.4</v>
      </c>
      <c r="G41">
        <v>117.7</v>
      </c>
      <c r="H41">
        <v>121.2</v>
      </c>
      <c r="I41">
        <v>115</v>
      </c>
      <c r="J41">
        <v>109</v>
      </c>
      <c r="K41">
        <v>116.6</v>
      </c>
      <c r="L41">
        <v>116</v>
      </c>
      <c r="M41">
        <v>109.8</v>
      </c>
      <c r="N41">
        <v>101.1</v>
      </c>
      <c r="O41">
        <v>110.4</v>
      </c>
      <c r="P41">
        <v>112.9</v>
      </c>
      <c r="Q41">
        <v>117.8</v>
      </c>
      <c r="R41">
        <v>115.3</v>
      </c>
      <c r="S41">
        <v>114.2</v>
      </c>
      <c r="T41">
        <v>117.1</v>
      </c>
      <c r="U41">
        <v>114.5</v>
      </c>
      <c r="V41">
        <v>116.7</v>
      </c>
      <c r="X41">
        <v>113.2</v>
      </c>
      <c r="Y41">
        <v>112.9</v>
      </c>
      <c r="Z41">
        <v>110.9</v>
      </c>
      <c r="AA41">
        <v>110.8</v>
      </c>
      <c r="AB41">
        <v>109.9</v>
      </c>
      <c r="AC41">
        <v>112</v>
      </c>
      <c r="AD41">
        <v>108.7</v>
      </c>
      <c r="AE41">
        <v>110.9</v>
      </c>
      <c r="AF41">
        <v>114</v>
      </c>
    </row>
    <row r="42" spans="1:32">
      <c r="A42" t="s">
        <v>33</v>
      </c>
      <c r="B42">
        <v>2014</v>
      </c>
      <c r="C42" t="s">
        <v>36</v>
      </c>
      <c r="D42">
        <v>2</v>
      </c>
      <c r="E42" s="1">
        <v>41671</v>
      </c>
      <c r="F42">
        <v>121.9</v>
      </c>
      <c r="G42">
        <v>122</v>
      </c>
      <c r="H42">
        <v>124.5</v>
      </c>
      <c r="I42">
        <v>115.2</v>
      </c>
      <c r="J42">
        <v>102.5</v>
      </c>
      <c r="K42">
        <v>114.1</v>
      </c>
      <c r="L42">
        <v>111.5</v>
      </c>
      <c r="M42">
        <v>108.2</v>
      </c>
      <c r="N42">
        <v>95.4</v>
      </c>
      <c r="O42">
        <v>113.5</v>
      </c>
      <c r="P42">
        <v>112.1</v>
      </c>
      <c r="Q42">
        <v>119.9</v>
      </c>
      <c r="R42">
        <v>115.2</v>
      </c>
      <c r="S42">
        <v>116.2</v>
      </c>
      <c r="T42">
        <v>115.3</v>
      </c>
      <c r="U42">
        <v>111.7</v>
      </c>
      <c r="V42">
        <v>114.7</v>
      </c>
      <c r="W42">
        <v>112.5</v>
      </c>
      <c r="X42">
        <v>111.1</v>
      </c>
      <c r="Y42">
        <v>112.6</v>
      </c>
      <c r="Z42">
        <v>110.4</v>
      </c>
      <c r="AA42">
        <v>111.3</v>
      </c>
      <c r="AB42">
        <v>110.3</v>
      </c>
      <c r="AC42">
        <v>111.6</v>
      </c>
      <c r="AD42">
        <v>108.7</v>
      </c>
      <c r="AE42">
        <v>111</v>
      </c>
      <c r="AF42">
        <v>113.1</v>
      </c>
    </row>
    <row r="43" spans="1:32">
      <c r="A43" t="s">
        <v>35</v>
      </c>
      <c r="B43">
        <v>2014</v>
      </c>
      <c r="C43" t="s">
        <v>36</v>
      </c>
      <c r="D43">
        <v>2</v>
      </c>
      <c r="E43" s="1">
        <v>41671</v>
      </c>
      <c r="F43">
        <v>120.2</v>
      </c>
      <c r="G43">
        <v>119.2</v>
      </c>
      <c r="H43">
        <v>122.5</v>
      </c>
      <c r="I43">
        <v>115.1</v>
      </c>
      <c r="J43">
        <v>106.6</v>
      </c>
      <c r="K43">
        <v>115.4</v>
      </c>
      <c r="L43">
        <v>114.5</v>
      </c>
      <c r="M43">
        <v>109.3</v>
      </c>
      <c r="N43">
        <v>99.2</v>
      </c>
      <c r="O43">
        <v>111.4</v>
      </c>
      <c r="P43">
        <v>112.6</v>
      </c>
      <c r="Q43">
        <v>118.8</v>
      </c>
      <c r="R43">
        <v>115.3</v>
      </c>
      <c r="S43">
        <v>114.7</v>
      </c>
      <c r="T43">
        <v>116.4</v>
      </c>
      <c r="U43">
        <v>113.3</v>
      </c>
      <c r="V43">
        <v>115.9</v>
      </c>
      <c r="W43">
        <v>112.5</v>
      </c>
      <c r="X43">
        <v>112.4</v>
      </c>
      <c r="Y43">
        <v>112.8</v>
      </c>
      <c r="Z43">
        <v>110.7</v>
      </c>
      <c r="AA43">
        <v>111.1</v>
      </c>
      <c r="AB43">
        <v>110.1</v>
      </c>
      <c r="AC43">
        <v>111.8</v>
      </c>
      <c r="AD43">
        <v>108.7</v>
      </c>
      <c r="AE43">
        <v>110.9</v>
      </c>
      <c r="AF43">
        <v>113.6</v>
      </c>
    </row>
    <row r="44" spans="1:32">
      <c r="A44" t="s">
        <v>30</v>
      </c>
      <c r="B44">
        <v>2014</v>
      </c>
      <c r="C44" t="s">
        <v>38</v>
      </c>
      <c r="D44">
        <v>3</v>
      </c>
      <c r="E44" s="1">
        <v>41699</v>
      </c>
      <c r="F44">
        <v>120.1</v>
      </c>
      <c r="G44">
        <v>118.1</v>
      </c>
      <c r="H44">
        <v>120.7</v>
      </c>
      <c r="I44">
        <v>116.1</v>
      </c>
      <c r="J44">
        <v>109.3</v>
      </c>
      <c r="K44">
        <v>119.6</v>
      </c>
      <c r="L44">
        <v>117.9</v>
      </c>
      <c r="M44">
        <v>110.2</v>
      </c>
      <c r="N44">
        <v>101.2</v>
      </c>
      <c r="O44">
        <v>110.7</v>
      </c>
      <c r="P44">
        <v>113</v>
      </c>
      <c r="Q44">
        <v>118.3</v>
      </c>
      <c r="R44">
        <v>116.2</v>
      </c>
      <c r="S44">
        <v>114.6</v>
      </c>
      <c r="T44">
        <v>117.5</v>
      </c>
      <c r="U44">
        <v>114.9</v>
      </c>
      <c r="V44">
        <v>117.2</v>
      </c>
      <c r="X44">
        <v>113.4</v>
      </c>
      <c r="Y44">
        <v>113.4</v>
      </c>
      <c r="Z44">
        <v>111.4</v>
      </c>
      <c r="AA44">
        <v>111.2</v>
      </c>
      <c r="AB44">
        <v>110.2</v>
      </c>
      <c r="AC44">
        <v>112.4</v>
      </c>
      <c r="AD44">
        <v>108.9</v>
      </c>
      <c r="AE44">
        <v>111.3</v>
      </c>
      <c r="AF44">
        <v>114.6</v>
      </c>
    </row>
    <row r="45" spans="1:32">
      <c r="A45" t="s">
        <v>33</v>
      </c>
      <c r="B45">
        <v>2014</v>
      </c>
      <c r="C45" t="s">
        <v>38</v>
      </c>
      <c r="D45">
        <v>3</v>
      </c>
      <c r="E45" s="1">
        <v>41699</v>
      </c>
      <c r="F45">
        <v>122.1</v>
      </c>
      <c r="G45">
        <v>121.4</v>
      </c>
      <c r="H45">
        <v>121.5</v>
      </c>
      <c r="I45">
        <v>116.2</v>
      </c>
      <c r="J45">
        <v>102.8</v>
      </c>
      <c r="K45">
        <v>117.7</v>
      </c>
      <c r="L45">
        <v>113.3</v>
      </c>
      <c r="M45">
        <v>108.9</v>
      </c>
      <c r="N45">
        <v>96.3</v>
      </c>
      <c r="O45">
        <v>114.1</v>
      </c>
      <c r="P45">
        <v>112.2</v>
      </c>
      <c r="Q45">
        <v>120.5</v>
      </c>
      <c r="R45">
        <v>116</v>
      </c>
      <c r="S45">
        <v>116.7</v>
      </c>
      <c r="T45">
        <v>115.8</v>
      </c>
      <c r="U45">
        <v>112.1</v>
      </c>
      <c r="V45">
        <v>115.2</v>
      </c>
      <c r="W45">
        <v>113.2</v>
      </c>
      <c r="X45">
        <v>110.9</v>
      </c>
      <c r="Y45">
        <v>113</v>
      </c>
      <c r="Z45">
        <v>110.8</v>
      </c>
      <c r="AA45">
        <v>111.6</v>
      </c>
      <c r="AB45">
        <v>110.9</v>
      </c>
      <c r="AC45">
        <v>111.8</v>
      </c>
      <c r="AD45">
        <v>109.2</v>
      </c>
      <c r="AE45">
        <v>111.4</v>
      </c>
      <c r="AF45">
        <v>113.7</v>
      </c>
    </row>
    <row r="46" spans="1:32">
      <c r="A46" t="s">
        <v>35</v>
      </c>
      <c r="B46">
        <v>2014</v>
      </c>
      <c r="C46" t="s">
        <v>38</v>
      </c>
      <c r="D46">
        <v>3</v>
      </c>
      <c r="E46" s="1">
        <v>41699</v>
      </c>
      <c r="F46">
        <v>120.7</v>
      </c>
      <c r="G46">
        <v>119.3</v>
      </c>
      <c r="H46">
        <v>121</v>
      </c>
      <c r="I46">
        <v>116.1</v>
      </c>
      <c r="J46">
        <v>106.9</v>
      </c>
      <c r="K46">
        <v>118.7</v>
      </c>
      <c r="L46">
        <v>116.3</v>
      </c>
      <c r="M46">
        <v>109.8</v>
      </c>
      <c r="N46">
        <v>99.6</v>
      </c>
      <c r="O46">
        <v>111.8</v>
      </c>
      <c r="P46">
        <v>112.7</v>
      </c>
      <c r="Q46">
        <v>119.3</v>
      </c>
      <c r="R46">
        <v>116.1</v>
      </c>
      <c r="S46">
        <v>115.2</v>
      </c>
      <c r="T46">
        <v>116.8</v>
      </c>
      <c r="U46">
        <v>113.7</v>
      </c>
      <c r="V46">
        <v>116.4</v>
      </c>
      <c r="W46">
        <v>113.2</v>
      </c>
      <c r="X46">
        <v>112.5</v>
      </c>
      <c r="Y46">
        <v>113.2</v>
      </c>
      <c r="Z46">
        <v>111.2</v>
      </c>
      <c r="AA46">
        <v>111.4</v>
      </c>
      <c r="AB46">
        <v>110.6</v>
      </c>
      <c r="AC46">
        <v>112</v>
      </c>
      <c r="AD46">
        <v>109</v>
      </c>
      <c r="AE46">
        <v>111.3</v>
      </c>
      <c r="AF46">
        <v>114.2</v>
      </c>
    </row>
    <row r="47" spans="1:32">
      <c r="A47" t="s">
        <v>30</v>
      </c>
      <c r="B47">
        <v>2014</v>
      </c>
      <c r="C47" t="s">
        <v>39</v>
      </c>
      <c r="D47">
        <v>4</v>
      </c>
      <c r="E47" s="1">
        <v>41730</v>
      </c>
      <c r="F47">
        <v>120.2</v>
      </c>
      <c r="G47">
        <v>118.9</v>
      </c>
      <c r="H47">
        <v>118.1</v>
      </c>
      <c r="I47">
        <v>117</v>
      </c>
      <c r="J47">
        <v>109.7</v>
      </c>
      <c r="K47">
        <v>125.5</v>
      </c>
      <c r="L47">
        <v>120.5</v>
      </c>
      <c r="M47">
        <v>111</v>
      </c>
      <c r="N47">
        <v>102.6</v>
      </c>
      <c r="O47">
        <v>111.2</v>
      </c>
      <c r="P47">
        <v>113.5</v>
      </c>
      <c r="Q47">
        <v>118.7</v>
      </c>
      <c r="R47">
        <v>117.2</v>
      </c>
      <c r="S47">
        <v>115.4</v>
      </c>
      <c r="T47">
        <v>118.1</v>
      </c>
      <c r="U47">
        <v>116.1</v>
      </c>
      <c r="V47">
        <v>117.8</v>
      </c>
      <c r="X47">
        <v>113.4</v>
      </c>
      <c r="Y47">
        <v>113.7</v>
      </c>
      <c r="Z47">
        <v>111.8</v>
      </c>
      <c r="AA47">
        <v>111.2</v>
      </c>
      <c r="AB47">
        <v>110.5</v>
      </c>
      <c r="AC47">
        <v>113</v>
      </c>
      <c r="AD47">
        <v>108.9</v>
      </c>
      <c r="AE47">
        <v>111.5</v>
      </c>
      <c r="AF47">
        <v>115.4</v>
      </c>
    </row>
    <row r="48" spans="1:32">
      <c r="A48" t="s">
        <v>33</v>
      </c>
      <c r="B48">
        <v>2014</v>
      </c>
      <c r="C48" t="s">
        <v>39</v>
      </c>
      <c r="D48">
        <v>4</v>
      </c>
      <c r="E48" s="1">
        <v>41730</v>
      </c>
      <c r="F48">
        <v>122.5</v>
      </c>
      <c r="G48">
        <v>121.7</v>
      </c>
      <c r="H48">
        <v>113.3</v>
      </c>
      <c r="I48">
        <v>117</v>
      </c>
      <c r="J48">
        <v>103.1</v>
      </c>
      <c r="K48">
        <v>126.7</v>
      </c>
      <c r="L48">
        <v>121.2</v>
      </c>
      <c r="M48">
        <v>111</v>
      </c>
      <c r="N48">
        <v>100.3</v>
      </c>
      <c r="O48">
        <v>115.3</v>
      </c>
      <c r="P48">
        <v>112.7</v>
      </c>
      <c r="Q48">
        <v>121</v>
      </c>
      <c r="R48">
        <v>118.2</v>
      </c>
      <c r="S48">
        <v>117.6</v>
      </c>
      <c r="T48">
        <v>116.3</v>
      </c>
      <c r="U48">
        <v>112.5</v>
      </c>
      <c r="V48">
        <v>115.7</v>
      </c>
      <c r="W48">
        <v>113.9</v>
      </c>
      <c r="X48">
        <v>110.9</v>
      </c>
      <c r="Y48">
        <v>113.4</v>
      </c>
      <c r="Z48">
        <v>111</v>
      </c>
      <c r="AA48">
        <v>111.2</v>
      </c>
      <c r="AB48">
        <v>111.2</v>
      </c>
      <c r="AC48">
        <v>112.5</v>
      </c>
      <c r="AD48">
        <v>109.1</v>
      </c>
      <c r="AE48">
        <v>111.4</v>
      </c>
      <c r="AF48">
        <v>114.7</v>
      </c>
    </row>
    <row r="49" spans="1:32">
      <c r="A49" t="s">
        <v>35</v>
      </c>
      <c r="B49">
        <v>2014</v>
      </c>
      <c r="C49" t="s">
        <v>39</v>
      </c>
      <c r="D49">
        <v>4</v>
      </c>
      <c r="E49" s="1">
        <v>41730</v>
      </c>
      <c r="F49">
        <v>120.9</v>
      </c>
      <c r="G49">
        <v>119.9</v>
      </c>
      <c r="H49">
        <v>116.2</v>
      </c>
      <c r="I49">
        <v>117</v>
      </c>
      <c r="J49">
        <v>107.3</v>
      </c>
      <c r="K49">
        <v>126.1</v>
      </c>
      <c r="L49">
        <v>120.7</v>
      </c>
      <c r="M49">
        <v>111</v>
      </c>
      <c r="N49">
        <v>101.8</v>
      </c>
      <c r="O49">
        <v>112.6</v>
      </c>
      <c r="P49">
        <v>113.2</v>
      </c>
      <c r="Q49">
        <v>119.8</v>
      </c>
      <c r="R49">
        <v>117.6</v>
      </c>
      <c r="S49">
        <v>116</v>
      </c>
      <c r="T49">
        <v>117.4</v>
      </c>
      <c r="U49">
        <v>114.6</v>
      </c>
      <c r="V49">
        <v>117</v>
      </c>
      <c r="W49">
        <v>113.9</v>
      </c>
      <c r="X49">
        <v>112.5</v>
      </c>
      <c r="Y49">
        <v>113.6</v>
      </c>
      <c r="Z49">
        <v>111.5</v>
      </c>
      <c r="AA49">
        <v>111.2</v>
      </c>
      <c r="AB49">
        <v>110.9</v>
      </c>
      <c r="AC49">
        <v>112.7</v>
      </c>
      <c r="AD49">
        <v>109</v>
      </c>
      <c r="AE49">
        <v>111.5</v>
      </c>
      <c r="AF49">
        <v>115.1</v>
      </c>
    </row>
    <row r="50" spans="1:32">
      <c r="A50" t="s">
        <v>30</v>
      </c>
      <c r="B50">
        <v>2014</v>
      </c>
      <c r="C50" t="s">
        <v>41</v>
      </c>
      <c r="D50">
        <v>5</v>
      </c>
      <c r="E50" s="1">
        <v>41760</v>
      </c>
      <c r="F50">
        <v>120.3</v>
      </c>
      <c r="G50">
        <v>120.2</v>
      </c>
      <c r="H50">
        <v>116.9</v>
      </c>
      <c r="I50">
        <v>118</v>
      </c>
      <c r="J50">
        <v>110.1</v>
      </c>
      <c r="K50">
        <v>126.3</v>
      </c>
      <c r="L50">
        <v>123.9</v>
      </c>
      <c r="M50">
        <v>111.5</v>
      </c>
      <c r="N50">
        <v>103.5</v>
      </c>
      <c r="O50">
        <v>111.6</v>
      </c>
      <c r="P50">
        <v>114.2</v>
      </c>
      <c r="Q50">
        <v>119.2</v>
      </c>
      <c r="R50">
        <v>118.2</v>
      </c>
      <c r="S50">
        <v>116.3</v>
      </c>
      <c r="T50">
        <v>118.7</v>
      </c>
      <c r="U50">
        <v>116.8</v>
      </c>
      <c r="V50">
        <v>118.5</v>
      </c>
      <c r="X50">
        <v>113.4</v>
      </c>
      <c r="Y50">
        <v>114.1</v>
      </c>
      <c r="Z50">
        <v>112.1</v>
      </c>
      <c r="AA50">
        <v>111.4</v>
      </c>
      <c r="AB50">
        <v>110.9</v>
      </c>
      <c r="AC50">
        <v>113.1</v>
      </c>
      <c r="AD50">
        <v>108.9</v>
      </c>
      <c r="AE50">
        <v>111.8</v>
      </c>
      <c r="AF50">
        <v>116</v>
      </c>
    </row>
    <row r="51" spans="1:32">
      <c r="A51" t="s">
        <v>33</v>
      </c>
      <c r="B51">
        <v>2014</v>
      </c>
      <c r="C51" t="s">
        <v>41</v>
      </c>
      <c r="D51">
        <v>5</v>
      </c>
      <c r="E51" s="1">
        <v>41760</v>
      </c>
      <c r="F51">
        <v>122.7</v>
      </c>
      <c r="G51">
        <v>124.1</v>
      </c>
      <c r="H51">
        <v>114.2</v>
      </c>
      <c r="I51">
        <v>119.1</v>
      </c>
      <c r="J51">
        <v>103.5</v>
      </c>
      <c r="K51">
        <v>129.19999999999999</v>
      </c>
      <c r="L51">
        <v>127</v>
      </c>
      <c r="M51">
        <v>112.6</v>
      </c>
      <c r="N51">
        <v>101.3</v>
      </c>
      <c r="O51">
        <v>117</v>
      </c>
      <c r="P51">
        <v>112.9</v>
      </c>
      <c r="Q51">
        <v>121.7</v>
      </c>
      <c r="R51">
        <v>120</v>
      </c>
      <c r="S51">
        <v>118.3</v>
      </c>
      <c r="T51">
        <v>116.8</v>
      </c>
      <c r="U51">
        <v>112.9</v>
      </c>
      <c r="V51">
        <v>116.2</v>
      </c>
      <c r="W51">
        <v>114.3</v>
      </c>
      <c r="X51">
        <v>111.1</v>
      </c>
      <c r="Y51">
        <v>114.1</v>
      </c>
      <c r="Z51">
        <v>111.2</v>
      </c>
      <c r="AA51">
        <v>111.3</v>
      </c>
      <c r="AB51">
        <v>111.5</v>
      </c>
      <c r="AC51">
        <v>112.9</v>
      </c>
      <c r="AD51">
        <v>109.3</v>
      </c>
      <c r="AE51">
        <v>111.7</v>
      </c>
      <c r="AF51">
        <v>115.6</v>
      </c>
    </row>
    <row r="52" spans="1:32">
      <c r="A52" t="s">
        <v>35</v>
      </c>
      <c r="B52">
        <v>2014</v>
      </c>
      <c r="C52" t="s">
        <v>41</v>
      </c>
      <c r="D52">
        <v>5</v>
      </c>
      <c r="E52" s="1">
        <v>41760</v>
      </c>
      <c r="F52">
        <v>121.1</v>
      </c>
      <c r="G52">
        <v>121.6</v>
      </c>
      <c r="H52">
        <v>115.9</v>
      </c>
      <c r="I52">
        <v>118.4</v>
      </c>
      <c r="J52">
        <v>107.7</v>
      </c>
      <c r="K52">
        <v>127.7</v>
      </c>
      <c r="L52">
        <v>125</v>
      </c>
      <c r="M52">
        <v>111.9</v>
      </c>
      <c r="N52">
        <v>102.8</v>
      </c>
      <c r="O52">
        <v>113.4</v>
      </c>
      <c r="P52">
        <v>113.7</v>
      </c>
      <c r="Q52">
        <v>120.4</v>
      </c>
      <c r="R52">
        <v>118.9</v>
      </c>
      <c r="S52">
        <v>116.8</v>
      </c>
      <c r="T52">
        <v>118</v>
      </c>
      <c r="U52">
        <v>115.2</v>
      </c>
      <c r="V52">
        <v>117.6</v>
      </c>
      <c r="W52">
        <v>114.3</v>
      </c>
      <c r="X52">
        <v>112.5</v>
      </c>
      <c r="Y52">
        <v>114.1</v>
      </c>
      <c r="Z52">
        <v>111.8</v>
      </c>
      <c r="AA52">
        <v>111.3</v>
      </c>
      <c r="AB52">
        <v>111.2</v>
      </c>
      <c r="AC52">
        <v>113</v>
      </c>
      <c r="AD52">
        <v>109.1</v>
      </c>
      <c r="AE52">
        <v>111.8</v>
      </c>
      <c r="AF52">
        <v>115.8</v>
      </c>
    </row>
    <row r="53" spans="1:32">
      <c r="A53" t="s">
        <v>30</v>
      </c>
      <c r="B53">
        <v>2014</v>
      </c>
      <c r="C53" t="s">
        <v>42</v>
      </c>
      <c r="D53">
        <v>6</v>
      </c>
      <c r="E53" s="1">
        <v>41791</v>
      </c>
      <c r="F53">
        <v>120.7</v>
      </c>
      <c r="G53">
        <v>121.6</v>
      </c>
      <c r="H53">
        <v>116.1</v>
      </c>
      <c r="I53">
        <v>119.3</v>
      </c>
      <c r="J53">
        <v>110.3</v>
      </c>
      <c r="K53">
        <v>125.8</v>
      </c>
      <c r="L53">
        <v>129.30000000000001</v>
      </c>
      <c r="M53">
        <v>112.2</v>
      </c>
      <c r="N53">
        <v>103.6</v>
      </c>
      <c r="O53">
        <v>112.3</v>
      </c>
      <c r="P53">
        <v>114.9</v>
      </c>
      <c r="Q53">
        <v>120.1</v>
      </c>
      <c r="R53">
        <v>119.5</v>
      </c>
      <c r="S53">
        <v>117.3</v>
      </c>
      <c r="T53">
        <v>119.7</v>
      </c>
      <c r="U53">
        <v>117.3</v>
      </c>
      <c r="V53">
        <v>119.3</v>
      </c>
      <c r="X53">
        <v>114.4</v>
      </c>
      <c r="Y53">
        <v>114.9</v>
      </c>
      <c r="Z53">
        <v>112.8</v>
      </c>
      <c r="AA53">
        <v>112.2</v>
      </c>
      <c r="AB53">
        <v>111.4</v>
      </c>
      <c r="AC53">
        <v>114.3</v>
      </c>
      <c r="AD53">
        <v>108</v>
      </c>
      <c r="AE53">
        <v>112.3</v>
      </c>
      <c r="AF53">
        <v>117</v>
      </c>
    </row>
    <row r="54" spans="1:32">
      <c r="A54" t="s">
        <v>33</v>
      </c>
      <c r="B54">
        <v>2014</v>
      </c>
      <c r="C54" t="s">
        <v>42</v>
      </c>
      <c r="D54">
        <v>6</v>
      </c>
      <c r="E54" s="1">
        <v>41791</v>
      </c>
      <c r="F54">
        <v>123.1</v>
      </c>
      <c r="G54">
        <v>125.9</v>
      </c>
      <c r="H54">
        <v>115.4</v>
      </c>
      <c r="I54">
        <v>120.4</v>
      </c>
      <c r="J54">
        <v>103.4</v>
      </c>
      <c r="K54">
        <v>131.19999999999999</v>
      </c>
      <c r="L54">
        <v>137.5</v>
      </c>
      <c r="M54">
        <v>112.8</v>
      </c>
      <c r="N54">
        <v>101.4</v>
      </c>
      <c r="O54">
        <v>118.3</v>
      </c>
      <c r="P54">
        <v>113.2</v>
      </c>
      <c r="Q54">
        <v>122.4</v>
      </c>
      <c r="R54">
        <v>122</v>
      </c>
      <c r="S54">
        <v>119</v>
      </c>
      <c r="T54">
        <v>117.4</v>
      </c>
      <c r="U54">
        <v>113.2</v>
      </c>
      <c r="V54">
        <v>116.7</v>
      </c>
      <c r="W54">
        <v>113.9</v>
      </c>
      <c r="X54">
        <v>111.2</v>
      </c>
      <c r="Y54">
        <v>114.3</v>
      </c>
      <c r="Z54">
        <v>111.4</v>
      </c>
      <c r="AA54">
        <v>111.5</v>
      </c>
      <c r="AB54">
        <v>111.8</v>
      </c>
      <c r="AC54">
        <v>115.1</v>
      </c>
      <c r="AD54">
        <v>108.7</v>
      </c>
      <c r="AE54">
        <v>112.2</v>
      </c>
      <c r="AF54">
        <v>116.4</v>
      </c>
    </row>
    <row r="55" spans="1:32">
      <c r="A55" t="s">
        <v>35</v>
      </c>
      <c r="B55">
        <v>2014</v>
      </c>
      <c r="C55" t="s">
        <v>42</v>
      </c>
      <c r="D55">
        <v>6</v>
      </c>
      <c r="E55" s="1">
        <v>41791</v>
      </c>
      <c r="F55">
        <v>121.5</v>
      </c>
      <c r="G55">
        <v>123.1</v>
      </c>
      <c r="H55">
        <v>115.8</v>
      </c>
      <c r="I55">
        <v>119.7</v>
      </c>
      <c r="J55">
        <v>107.8</v>
      </c>
      <c r="K55">
        <v>128.30000000000001</v>
      </c>
      <c r="L55">
        <v>132.1</v>
      </c>
      <c r="M55">
        <v>112.4</v>
      </c>
      <c r="N55">
        <v>102.9</v>
      </c>
      <c r="O55">
        <v>114.3</v>
      </c>
      <c r="P55">
        <v>114.2</v>
      </c>
      <c r="Q55">
        <v>121.2</v>
      </c>
      <c r="R55">
        <v>120.4</v>
      </c>
      <c r="S55">
        <v>117.8</v>
      </c>
      <c r="T55">
        <v>118.8</v>
      </c>
      <c r="U55">
        <v>115.6</v>
      </c>
      <c r="V55">
        <v>118.3</v>
      </c>
      <c r="W55">
        <v>113.9</v>
      </c>
      <c r="X55">
        <v>113.2</v>
      </c>
      <c r="Y55">
        <v>114.6</v>
      </c>
      <c r="Z55">
        <v>112.3</v>
      </c>
      <c r="AA55">
        <v>111.8</v>
      </c>
      <c r="AB55">
        <v>111.6</v>
      </c>
      <c r="AC55">
        <v>114.8</v>
      </c>
      <c r="AD55">
        <v>108.3</v>
      </c>
      <c r="AE55">
        <v>112.3</v>
      </c>
      <c r="AF55">
        <v>116.7</v>
      </c>
    </row>
    <row r="56" spans="1:32">
      <c r="A56" t="s">
        <v>30</v>
      </c>
      <c r="B56">
        <v>2014</v>
      </c>
      <c r="C56" t="s">
        <v>44</v>
      </c>
      <c r="D56">
        <v>7</v>
      </c>
      <c r="E56" s="1">
        <v>41821</v>
      </c>
      <c r="F56">
        <v>121.7</v>
      </c>
      <c r="G56">
        <v>122.5</v>
      </c>
      <c r="H56">
        <v>117.7</v>
      </c>
      <c r="I56">
        <v>120.6</v>
      </c>
      <c r="J56">
        <v>110.4</v>
      </c>
      <c r="K56">
        <v>129.1</v>
      </c>
      <c r="L56">
        <v>150.1</v>
      </c>
      <c r="M56">
        <v>113.2</v>
      </c>
      <c r="N56">
        <v>104.8</v>
      </c>
      <c r="O56">
        <v>113.3</v>
      </c>
      <c r="P56">
        <v>115.6</v>
      </c>
      <c r="Q56">
        <v>120.9</v>
      </c>
      <c r="R56">
        <v>123.3</v>
      </c>
      <c r="S56">
        <v>118</v>
      </c>
      <c r="T56">
        <v>120.7</v>
      </c>
      <c r="U56">
        <v>118.3</v>
      </c>
      <c r="V56">
        <v>120.3</v>
      </c>
      <c r="X56">
        <v>115.3</v>
      </c>
      <c r="Y56">
        <v>115.4</v>
      </c>
      <c r="Z56">
        <v>113.4</v>
      </c>
      <c r="AA56">
        <v>113.2</v>
      </c>
      <c r="AB56">
        <v>111.8</v>
      </c>
      <c r="AC56">
        <v>115.5</v>
      </c>
      <c r="AD56">
        <v>108.8</v>
      </c>
      <c r="AE56">
        <v>113.1</v>
      </c>
      <c r="AF56">
        <v>119.5</v>
      </c>
    </row>
    <row r="57" spans="1:32">
      <c r="A57" t="s">
        <v>33</v>
      </c>
      <c r="B57">
        <v>2014</v>
      </c>
      <c r="C57" t="s">
        <v>44</v>
      </c>
      <c r="D57">
        <v>7</v>
      </c>
      <c r="E57" s="1">
        <v>41821</v>
      </c>
      <c r="F57">
        <v>123.8</v>
      </c>
      <c r="G57">
        <v>126.4</v>
      </c>
      <c r="H57">
        <v>118</v>
      </c>
      <c r="I57">
        <v>121.6</v>
      </c>
      <c r="J57">
        <v>103.5</v>
      </c>
      <c r="K57">
        <v>133.69999999999999</v>
      </c>
      <c r="L57">
        <v>172.4</v>
      </c>
      <c r="M57">
        <v>113.1</v>
      </c>
      <c r="N57">
        <v>102.7</v>
      </c>
      <c r="O57">
        <v>120</v>
      </c>
      <c r="P57">
        <v>113.8</v>
      </c>
      <c r="Q57">
        <v>123.4</v>
      </c>
      <c r="R57">
        <v>127.1</v>
      </c>
      <c r="S57">
        <v>121</v>
      </c>
      <c r="T57">
        <v>118</v>
      </c>
      <c r="U57">
        <v>113.6</v>
      </c>
      <c r="V57">
        <v>117.4</v>
      </c>
      <c r="W57">
        <v>114.8</v>
      </c>
      <c r="X57">
        <v>111.6</v>
      </c>
      <c r="Y57">
        <v>114.9</v>
      </c>
      <c r="Z57">
        <v>111.5</v>
      </c>
      <c r="AA57">
        <v>113</v>
      </c>
      <c r="AB57">
        <v>112.4</v>
      </c>
      <c r="AC57">
        <v>117.8</v>
      </c>
      <c r="AD57">
        <v>109.7</v>
      </c>
      <c r="AE57">
        <v>113.5</v>
      </c>
      <c r="AF57">
        <v>118.9</v>
      </c>
    </row>
    <row r="58" spans="1:32">
      <c r="A58" t="s">
        <v>35</v>
      </c>
      <c r="B58">
        <v>2014</v>
      </c>
      <c r="C58" t="s">
        <v>44</v>
      </c>
      <c r="D58">
        <v>7</v>
      </c>
      <c r="E58" s="1">
        <v>41821</v>
      </c>
      <c r="F58">
        <v>122.4</v>
      </c>
      <c r="G58">
        <v>123.9</v>
      </c>
      <c r="H58">
        <v>117.8</v>
      </c>
      <c r="I58">
        <v>121</v>
      </c>
      <c r="J58">
        <v>107.9</v>
      </c>
      <c r="K58">
        <v>131.19999999999999</v>
      </c>
      <c r="L58">
        <v>157.69999999999999</v>
      </c>
      <c r="M58">
        <v>113.2</v>
      </c>
      <c r="N58">
        <v>104.1</v>
      </c>
      <c r="O58">
        <v>115.5</v>
      </c>
      <c r="P58">
        <v>114.8</v>
      </c>
      <c r="Q58">
        <v>122.1</v>
      </c>
      <c r="R58">
        <v>124.7</v>
      </c>
      <c r="S58">
        <v>118.8</v>
      </c>
      <c r="T58">
        <v>119.6</v>
      </c>
      <c r="U58">
        <v>116.3</v>
      </c>
      <c r="V58">
        <v>119.1</v>
      </c>
      <c r="W58">
        <v>114.8</v>
      </c>
      <c r="X58">
        <v>113.9</v>
      </c>
      <c r="Y58">
        <v>115.2</v>
      </c>
      <c r="Z58">
        <v>112.7</v>
      </c>
      <c r="AA58">
        <v>113.1</v>
      </c>
      <c r="AB58">
        <v>112.1</v>
      </c>
      <c r="AC58">
        <v>116.8</v>
      </c>
      <c r="AD58">
        <v>109.2</v>
      </c>
      <c r="AE58">
        <v>113.3</v>
      </c>
      <c r="AF58">
        <v>119.2</v>
      </c>
    </row>
    <row r="59" spans="1:32">
      <c r="A59" t="s">
        <v>30</v>
      </c>
      <c r="B59">
        <v>2014</v>
      </c>
      <c r="C59" t="s">
        <v>46</v>
      </c>
      <c r="D59">
        <v>8</v>
      </c>
      <c r="E59" s="1">
        <v>41852</v>
      </c>
      <c r="F59">
        <v>121.8</v>
      </c>
      <c r="G59">
        <v>122.8</v>
      </c>
      <c r="H59">
        <v>117.8</v>
      </c>
      <c r="I59">
        <v>121.9</v>
      </c>
      <c r="J59">
        <v>110.6</v>
      </c>
      <c r="K59">
        <v>129.69999999999999</v>
      </c>
      <c r="L59">
        <v>161.1</v>
      </c>
      <c r="M59">
        <v>114.1</v>
      </c>
      <c r="N59">
        <v>105.1</v>
      </c>
      <c r="O59">
        <v>114.6</v>
      </c>
      <c r="P59">
        <v>115.8</v>
      </c>
      <c r="Q59">
        <v>121.7</v>
      </c>
      <c r="R59">
        <v>125.3</v>
      </c>
      <c r="S59">
        <v>118.8</v>
      </c>
      <c r="T59">
        <v>120.9</v>
      </c>
      <c r="U59">
        <v>118.8</v>
      </c>
      <c r="V59">
        <v>120.7</v>
      </c>
      <c r="X59">
        <v>115.4</v>
      </c>
      <c r="Y59">
        <v>115.9</v>
      </c>
      <c r="Z59">
        <v>114</v>
      </c>
      <c r="AA59">
        <v>113.2</v>
      </c>
      <c r="AB59">
        <v>112.2</v>
      </c>
      <c r="AC59">
        <v>116.2</v>
      </c>
      <c r="AD59">
        <v>109.4</v>
      </c>
      <c r="AE59">
        <v>113.5</v>
      </c>
      <c r="AF59">
        <v>120.7</v>
      </c>
    </row>
    <row r="60" spans="1:32">
      <c r="A60" t="s">
        <v>33</v>
      </c>
      <c r="B60">
        <v>2014</v>
      </c>
      <c r="C60" t="s">
        <v>46</v>
      </c>
      <c r="D60">
        <v>8</v>
      </c>
      <c r="E60" s="1">
        <v>41852</v>
      </c>
      <c r="F60">
        <v>124.8</v>
      </c>
      <c r="G60">
        <v>127.3</v>
      </c>
      <c r="H60">
        <v>116.5</v>
      </c>
      <c r="I60">
        <v>122.2</v>
      </c>
      <c r="J60">
        <v>103.6</v>
      </c>
      <c r="K60">
        <v>132.69999999999999</v>
      </c>
      <c r="L60">
        <v>181.9</v>
      </c>
      <c r="M60">
        <v>115.2</v>
      </c>
      <c r="N60">
        <v>102.7</v>
      </c>
      <c r="O60">
        <v>122.1</v>
      </c>
      <c r="P60">
        <v>114.4</v>
      </c>
      <c r="Q60">
        <v>124.7</v>
      </c>
      <c r="R60">
        <v>128.9</v>
      </c>
      <c r="S60">
        <v>123</v>
      </c>
      <c r="T60">
        <v>118.6</v>
      </c>
      <c r="U60">
        <v>114.1</v>
      </c>
      <c r="V60">
        <v>117.9</v>
      </c>
      <c r="W60">
        <v>115.5</v>
      </c>
      <c r="X60">
        <v>111.8</v>
      </c>
      <c r="Y60">
        <v>115.3</v>
      </c>
      <c r="Z60">
        <v>112.2</v>
      </c>
      <c r="AA60">
        <v>112.5</v>
      </c>
      <c r="AB60">
        <v>112.9</v>
      </c>
      <c r="AC60">
        <v>119.2</v>
      </c>
      <c r="AD60">
        <v>110.5</v>
      </c>
      <c r="AE60">
        <v>113.9</v>
      </c>
      <c r="AF60">
        <v>119.9</v>
      </c>
    </row>
    <row r="61" spans="1:32">
      <c r="A61" t="s">
        <v>35</v>
      </c>
      <c r="B61">
        <v>2014</v>
      </c>
      <c r="C61" t="s">
        <v>46</v>
      </c>
      <c r="D61">
        <v>8</v>
      </c>
      <c r="E61" s="1">
        <v>41852</v>
      </c>
      <c r="F61">
        <v>122.7</v>
      </c>
      <c r="G61">
        <v>124.4</v>
      </c>
      <c r="H61">
        <v>117.3</v>
      </c>
      <c r="I61">
        <v>122</v>
      </c>
      <c r="J61">
        <v>108</v>
      </c>
      <c r="K61">
        <v>131.1</v>
      </c>
      <c r="L61">
        <v>168.2</v>
      </c>
      <c r="M61">
        <v>114.5</v>
      </c>
      <c r="N61">
        <v>104.3</v>
      </c>
      <c r="O61">
        <v>117.1</v>
      </c>
      <c r="P61">
        <v>115.2</v>
      </c>
      <c r="Q61">
        <v>123.1</v>
      </c>
      <c r="R61">
        <v>126.6</v>
      </c>
      <c r="S61">
        <v>119.9</v>
      </c>
      <c r="T61">
        <v>120</v>
      </c>
      <c r="U61">
        <v>116.8</v>
      </c>
      <c r="V61">
        <v>119.6</v>
      </c>
      <c r="W61">
        <v>115.5</v>
      </c>
      <c r="X61">
        <v>114</v>
      </c>
      <c r="Y61">
        <v>115.6</v>
      </c>
      <c r="Z61">
        <v>113.3</v>
      </c>
      <c r="AA61">
        <v>112.8</v>
      </c>
      <c r="AB61">
        <v>112.6</v>
      </c>
      <c r="AC61">
        <v>118</v>
      </c>
      <c r="AD61">
        <v>109.9</v>
      </c>
      <c r="AE61">
        <v>113.7</v>
      </c>
      <c r="AF61">
        <v>120.3</v>
      </c>
    </row>
    <row r="62" spans="1:32">
      <c r="A62" t="s">
        <v>30</v>
      </c>
      <c r="B62">
        <v>2014</v>
      </c>
      <c r="C62" t="s">
        <v>48</v>
      </c>
      <c r="D62">
        <v>9</v>
      </c>
      <c r="E62" s="1">
        <v>41883</v>
      </c>
      <c r="F62">
        <v>122.3</v>
      </c>
      <c r="G62">
        <v>122.4</v>
      </c>
      <c r="H62">
        <v>117.8</v>
      </c>
      <c r="I62">
        <v>122.7</v>
      </c>
      <c r="J62">
        <v>110.4</v>
      </c>
      <c r="K62">
        <v>129.80000000000001</v>
      </c>
      <c r="L62">
        <v>158.80000000000001</v>
      </c>
      <c r="M62">
        <v>115</v>
      </c>
      <c r="N62">
        <v>104.7</v>
      </c>
      <c r="O62">
        <v>114.9</v>
      </c>
      <c r="P62">
        <v>116.5</v>
      </c>
      <c r="Q62">
        <v>122.6</v>
      </c>
      <c r="R62">
        <v>125.3</v>
      </c>
      <c r="S62">
        <v>119.5</v>
      </c>
      <c r="T62">
        <v>121.7</v>
      </c>
      <c r="U62">
        <v>119.2</v>
      </c>
      <c r="V62">
        <v>121.3</v>
      </c>
      <c r="X62">
        <v>115.8</v>
      </c>
      <c r="Y62">
        <v>116.7</v>
      </c>
      <c r="Z62">
        <v>114.5</v>
      </c>
      <c r="AA62">
        <v>112.8</v>
      </c>
      <c r="AB62">
        <v>112.6</v>
      </c>
      <c r="AC62">
        <v>116.6</v>
      </c>
      <c r="AD62">
        <v>109.1</v>
      </c>
      <c r="AE62">
        <v>113.7</v>
      </c>
      <c r="AF62">
        <v>120.9</v>
      </c>
    </row>
    <row r="63" spans="1:32">
      <c r="A63" t="s">
        <v>33</v>
      </c>
      <c r="B63">
        <v>2014</v>
      </c>
      <c r="C63" t="s">
        <v>48</v>
      </c>
      <c r="D63">
        <v>9</v>
      </c>
      <c r="E63" s="1">
        <v>41883</v>
      </c>
      <c r="F63">
        <v>124.2</v>
      </c>
      <c r="G63">
        <v>125.4</v>
      </c>
      <c r="H63">
        <v>116.4</v>
      </c>
      <c r="I63">
        <v>122.7</v>
      </c>
      <c r="J63">
        <v>103.5</v>
      </c>
      <c r="K63">
        <v>124.5</v>
      </c>
      <c r="L63">
        <v>168.6</v>
      </c>
      <c r="M63">
        <v>116.9</v>
      </c>
      <c r="N63">
        <v>101.9</v>
      </c>
      <c r="O63">
        <v>122.9</v>
      </c>
      <c r="P63">
        <v>114.8</v>
      </c>
      <c r="Q63">
        <v>125.2</v>
      </c>
      <c r="R63">
        <v>126.7</v>
      </c>
      <c r="S63">
        <v>124.3</v>
      </c>
      <c r="T63">
        <v>119.2</v>
      </c>
      <c r="U63">
        <v>114.5</v>
      </c>
      <c r="V63">
        <v>118.4</v>
      </c>
      <c r="W63">
        <v>116.1</v>
      </c>
      <c r="X63">
        <v>111.8</v>
      </c>
      <c r="Y63">
        <v>115.5</v>
      </c>
      <c r="Z63">
        <v>112.3</v>
      </c>
      <c r="AA63">
        <v>111.2</v>
      </c>
      <c r="AB63">
        <v>113.4</v>
      </c>
      <c r="AC63">
        <v>120</v>
      </c>
      <c r="AD63">
        <v>110</v>
      </c>
      <c r="AE63">
        <v>113.6</v>
      </c>
      <c r="AF63">
        <v>119.2</v>
      </c>
    </row>
    <row r="64" spans="1:32">
      <c r="A64" t="s">
        <v>35</v>
      </c>
      <c r="B64">
        <v>2014</v>
      </c>
      <c r="C64" t="s">
        <v>48</v>
      </c>
      <c r="D64">
        <v>9</v>
      </c>
      <c r="E64" s="1">
        <v>41883</v>
      </c>
      <c r="F64">
        <v>122.9</v>
      </c>
      <c r="G64">
        <v>123.5</v>
      </c>
      <c r="H64">
        <v>117.3</v>
      </c>
      <c r="I64">
        <v>122.7</v>
      </c>
      <c r="J64">
        <v>107.9</v>
      </c>
      <c r="K64">
        <v>127.3</v>
      </c>
      <c r="L64">
        <v>162.1</v>
      </c>
      <c r="M64">
        <v>115.6</v>
      </c>
      <c r="N64">
        <v>103.8</v>
      </c>
      <c r="O64">
        <v>117.6</v>
      </c>
      <c r="P64">
        <v>115.8</v>
      </c>
      <c r="Q64">
        <v>123.8</v>
      </c>
      <c r="R64">
        <v>125.8</v>
      </c>
      <c r="S64">
        <v>120.8</v>
      </c>
      <c r="T64">
        <v>120.7</v>
      </c>
      <c r="U64">
        <v>117.2</v>
      </c>
      <c r="V64">
        <v>120.1</v>
      </c>
      <c r="W64">
        <v>116.1</v>
      </c>
      <c r="X64">
        <v>114.3</v>
      </c>
      <c r="Y64">
        <v>116.1</v>
      </c>
      <c r="Z64">
        <v>113.7</v>
      </c>
      <c r="AA64">
        <v>112</v>
      </c>
      <c r="AB64">
        <v>113.1</v>
      </c>
      <c r="AC64">
        <v>118.6</v>
      </c>
      <c r="AD64">
        <v>109.5</v>
      </c>
      <c r="AE64">
        <v>113.7</v>
      </c>
      <c r="AF64">
        <v>120.1</v>
      </c>
    </row>
    <row r="65" spans="1:32">
      <c r="A65" t="s">
        <v>30</v>
      </c>
      <c r="B65">
        <v>2014</v>
      </c>
      <c r="C65" t="s">
        <v>50</v>
      </c>
      <c r="D65">
        <v>10</v>
      </c>
      <c r="E65" s="1">
        <v>41913</v>
      </c>
      <c r="F65">
        <v>122.6</v>
      </c>
      <c r="G65">
        <v>122.5</v>
      </c>
      <c r="H65">
        <v>118.3</v>
      </c>
      <c r="I65">
        <v>123.2</v>
      </c>
      <c r="J65">
        <v>110.5</v>
      </c>
      <c r="K65">
        <v>128.9</v>
      </c>
      <c r="L65">
        <v>155.30000000000001</v>
      </c>
      <c r="M65">
        <v>115.5</v>
      </c>
      <c r="N65">
        <v>104</v>
      </c>
      <c r="O65">
        <v>115.3</v>
      </c>
      <c r="P65">
        <v>116.8</v>
      </c>
      <c r="Q65">
        <v>123.2</v>
      </c>
      <c r="R65">
        <v>125.1</v>
      </c>
      <c r="S65">
        <v>120</v>
      </c>
      <c r="T65">
        <v>122.7</v>
      </c>
      <c r="U65">
        <v>120.3</v>
      </c>
      <c r="V65">
        <v>122.3</v>
      </c>
      <c r="X65">
        <v>116.4</v>
      </c>
      <c r="Y65">
        <v>117.5</v>
      </c>
      <c r="Z65">
        <v>115.3</v>
      </c>
      <c r="AA65">
        <v>112.6</v>
      </c>
      <c r="AB65">
        <v>113</v>
      </c>
      <c r="AC65">
        <v>116.9</v>
      </c>
      <c r="AD65">
        <v>109.3</v>
      </c>
      <c r="AE65">
        <v>114</v>
      </c>
      <c r="AF65">
        <v>121</v>
      </c>
    </row>
    <row r="66" spans="1:32">
      <c r="A66" t="s">
        <v>33</v>
      </c>
      <c r="B66">
        <v>2014</v>
      </c>
      <c r="C66" t="s">
        <v>50</v>
      </c>
      <c r="D66">
        <v>10</v>
      </c>
      <c r="E66" s="1">
        <v>41913</v>
      </c>
      <c r="F66">
        <v>124.6</v>
      </c>
      <c r="G66">
        <v>126.1</v>
      </c>
      <c r="H66">
        <v>117.8</v>
      </c>
      <c r="I66">
        <v>123.1</v>
      </c>
      <c r="J66">
        <v>103.5</v>
      </c>
      <c r="K66">
        <v>123.5</v>
      </c>
      <c r="L66">
        <v>159.6</v>
      </c>
      <c r="M66">
        <v>117.4</v>
      </c>
      <c r="N66">
        <v>101.2</v>
      </c>
      <c r="O66">
        <v>123.8</v>
      </c>
      <c r="P66">
        <v>115.2</v>
      </c>
      <c r="Q66">
        <v>125.9</v>
      </c>
      <c r="R66">
        <v>125.8</v>
      </c>
      <c r="S66">
        <v>124.3</v>
      </c>
      <c r="T66">
        <v>119.6</v>
      </c>
      <c r="U66">
        <v>114.9</v>
      </c>
      <c r="V66">
        <v>118.9</v>
      </c>
      <c r="W66">
        <v>116.7</v>
      </c>
      <c r="X66">
        <v>112</v>
      </c>
      <c r="Y66">
        <v>115.8</v>
      </c>
      <c r="Z66">
        <v>112.6</v>
      </c>
      <c r="AA66">
        <v>111</v>
      </c>
      <c r="AB66">
        <v>113.6</v>
      </c>
      <c r="AC66">
        <v>120.2</v>
      </c>
      <c r="AD66">
        <v>110.1</v>
      </c>
      <c r="AE66">
        <v>113.7</v>
      </c>
      <c r="AF66">
        <v>119.1</v>
      </c>
    </row>
    <row r="67" spans="1:32">
      <c r="A67" t="s">
        <v>35</v>
      </c>
      <c r="B67">
        <v>2014</v>
      </c>
      <c r="C67" t="s">
        <v>50</v>
      </c>
      <c r="D67">
        <v>10</v>
      </c>
      <c r="E67" s="1">
        <v>41913</v>
      </c>
      <c r="F67">
        <v>123.2</v>
      </c>
      <c r="G67">
        <v>123.8</v>
      </c>
      <c r="H67">
        <v>118.1</v>
      </c>
      <c r="I67">
        <v>123.2</v>
      </c>
      <c r="J67">
        <v>107.9</v>
      </c>
      <c r="K67">
        <v>126.4</v>
      </c>
      <c r="L67">
        <v>156.80000000000001</v>
      </c>
      <c r="M67">
        <v>116.1</v>
      </c>
      <c r="N67">
        <v>103.1</v>
      </c>
      <c r="O67">
        <v>118.1</v>
      </c>
      <c r="P67">
        <v>116.1</v>
      </c>
      <c r="Q67">
        <v>124.5</v>
      </c>
      <c r="R67">
        <v>125.4</v>
      </c>
      <c r="S67">
        <v>121.1</v>
      </c>
      <c r="T67">
        <v>121.5</v>
      </c>
      <c r="U67">
        <v>118.1</v>
      </c>
      <c r="V67">
        <v>121</v>
      </c>
      <c r="W67">
        <v>116.7</v>
      </c>
      <c r="X67">
        <v>114.7</v>
      </c>
      <c r="Y67">
        <v>116.7</v>
      </c>
      <c r="Z67">
        <v>114.3</v>
      </c>
      <c r="AA67">
        <v>111.8</v>
      </c>
      <c r="AB67">
        <v>113.3</v>
      </c>
      <c r="AC67">
        <v>118.8</v>
      </c>
      <c r="AD67">
        <v>109.6</v>
      </c>
      <c r="AE67">
        <v>113.9</v>
      </c>
      <c r="AF67">
        <v>120.1</v>
      </c>
    </row>
    <row r="68" spans="1:32">
      <c r="A68" t="s">
        <v>30</v>
      </c>
      <c r="B68">
        <v>2014</v>
      </c>
      <c r="C68" t="s">
        <v>53</v>
      </c>
      <c r="D68">
        <v>11</v>
      </c>
      <c r="E68" s="1">
        <v>41944</v>
      </c>
      <c r="F68">
        <v>122.7</v>
      </c>
      <c r="G68">
        <v>122.6</v>
      </c>
      <c r="H68">
        <v>119.9</v>
      </c>
      <c r="I68">
        <v>124</v>
      </c>
      <c r="J68">
        <v>110.5</v>
      </c>
      <c r="K68">
        <v>128.80000000000001</v>
      </c>
      <c r="L68">
        <v>152</v>
      </c>
      <c r="M68">
        <v>116.2</v>
      </c>
      <c r="N68">
        <v>103.3</v>
      </c>
      <c r="O68">
        <v>115.8</v>
      </c>
      <c r="P68">
        <v>116.8</v>
      </c>
      <c r="Q68">
        <v>124.5</v>
      </c>
      <c r="R68">
        <v>124.9</v>
      </c>
      <c r="S68">
        <v>120.8</v>
      </c>
      <c r="T68">
        <v>123.3</v>
      </c>
      <c r="U68">
        <v>120.5</v>
      </c>
      <c r="V68">
        <v>122.9</v>
      </c>
      <c r="X68">
        <v>117.3</v>
      </c>
      <c r="Y68">
        <v>118.1</v>
      </c>
      <c r="Z68">
        <v>115.9</v>
      </c>
      <c r="AA68">
        <v>112</v>
      </c>
      <c r="AB68">
        <v>113.3</v>
      </c>
      <c r="AC68">
        <v>117.2</v>
      </c>
      <c r="AD68">
        <v>108.8</v>
      </c>
      <c r="AE68">
        <v>114.1</v>
      </c>
      <c r="AF68">
        <v>121.1</v>
      </c>
    </row>
    <row r="69" spans="1:32">
      <c r="A69" t="s">
        <v>33</v>
      </c>
      <c r="B69">
        <v>2014</v>
      </c>
      <c r="C69" t="s">
        <v>53</v>
      </c>
      <c r="D69">
        <v>11</v>
      </c>
      <c r="E69" s="1">
        <v>41944</v>
      </c>
      <c r="F69">
        <v>124.5</v>
      </c>
      <c r="G69">
        <v>125.6</v>
      </c>
      <c r="H69">
        <v>122.7</v>
      </c>
      <c r="I69">
        <v>124.6</v>
      </c>
      <c r="J69">
        <v>103.2</v>
      </c>
      <c r="K69">
        <v>122.2</v>
      </c>
      <c r="L69">
        <v>153.19999999999999</v>
      </c>
      <c r="M69">
        <v>119.3</v>
      </c>
      <c r="N69">
        <v>99.8</v>
      </c>
      <c r="O69">
        <v>124.6</v>
      </c>
      <c r="P69">
        <v>115.8</v>
      </c>
      <c r="Q69">
        <v>126.9</v>
      </c>
      <c r="R69">
        <v>125.4</v>
      </c>
      <c r="S69">
        <v>125.8</v>
      </c>
      <c r="T69">
        <v>120.3</v>
      </c>
      <c r="U69">
        <v>115.4</v>
      </c>
      <c r="V69">
        <v>119.5</v>
      </c>
      <c r="W69">
        <v>117.1</v>
      </c>
      <c r="X69">
        <v>112.6</v>
      </c>
      <c r="Y69">
        <v>116.4</v>
      </c>
      <c r="Z69">
        <v>113</v>
      </c>
      <c r="AA69">
        <v>109.7</v>
      </c>
      <c r="AB69">
        <v>114</v>
      </c>
      <c r="AC69">
        <v>120.3</v>
      </c>
      <c r="AD69">
        <v>109.6</v>
      </c>
      <c r="AE69">
        <v>113.4</v>
      </c>
      <c r="AF69">
        <v>119</v>
      </c>
    </row>
    <row r="70" spans="1:32">
      <c r="A70" t="s">
        <v>35</v>
      </c>
      <c r="B70">
        <v>2014</v>
      </c>
      <c r="C70" t="s">
        <v>53</v>
      </c>
      <c r="D70">
        <v>11</v>
      </c>
      <c r="E70" s="1">
        <v>41944</v>
      </c>
      <c r="F70">
        <v>123.3</v>
      </c>
      <c r="G70">
        <v>123.7</v>
      </c>
      <c r="H70">
        <v>121</v>
      </c>
      <c r="I70">
        <v>124.2</v>
      </c>
      <c r="J70">
        <v>107.8</v>
      </c>
      <c r="K70">
        <v>125.7</v>
      </c>
      <c r="L70">
        <v>152.4</v>
      </c>
      <c r="M70">
        <v>117.2</v>
      </c>
      <c r="N70">
        <v>102.1</v>
      </c>
      <c r="O70">
        <v>118.7</v>
      </c>
      <c r="P70">
        <v>116.4</v>
      </c>
      <c r="Q70">
        <v>125.6</v>
      </c>
      <c r="R70">
        <v>125.1</v>
      </c>
      <c r="S70">
        <v>122.1</v>
      </c>
      <c r="T70">
        <v>122.1</v>
      </c>
      <c r="U70">
        <v>118.4</v>
      </c>
      <c r="V70">
        <v>121.6</v>
      </c>
      <c r="W70">
        <v>117.1</v>
      </c>
      <c r="X70">
        <v>115.5</v>
      </c>
      <c r="Y70">
        <v>117.3</v>
      </c>
      <c r="Z70">
        <v>114.8</v>
      </c>
      <c r="AA70">
        <v>110.8</v>
      </c>
      <c r="AB70">
        <v>113.7</v>
      </c>
      <c r="AC70">
        <v>119</v>
      </c>
      <c r="AD70">
        <v>109.1</v>
      </c>
      <c r="AE70">
        <v>113.8</v>
      </c>
      <c r="AF70">
        <v>120.1</v>
      </c>
    </row>
    <row r="71" spans="1:32">
      <c r="A71" t="s">
        <v>30</v>
      </c>
      <c r="B71">
        <v>2014</v>
      </c>
      <c r="C71" t="s">
        <v>55</v>
      </c>
      <c r="D71">
        <v>12</v>
      </c>
      <c r="E71" s="1">
        <v>41974</v>
      </c>
      <c r="F71">
        <v>122.4</v>
      </c>
      <c r="G71">
        <v>122.4</v>
      </c>
      <c r="H71">
        <v>121.8</v>
      </c>
      <c r="I71">
        <v>124.2</v>
      </c>
      <c r="J71">
        <v>110.2</v>
      </c>
      <c r="K71">
        <v>128.6</v>
      </c>
      <c r="L71">
        <v>140.30000000000001</v>
      </c>
      <c r="M71">
        <v>116.3</v>
      </c>
      <c r="N71">
        <v>102</v>
      </c>
      <c r="O71">
        <v>116</v>
      </c>
      <c r="P71">
        <v>117.3</v>
      </c>
      <c r="Q71">
        <v>124.8</v>
      </c>
      <c r="R71">
        <v>123.3</v>
      </c>
      <c r="S71">
        <v>121.7</v>
      </c>
      <c r="T71">
        <v>123.8</v>
      </c>
      <c r="U71">
        <v>120.6</v>
      </c>
      <c r="V71">
        <v>123.3</v>
      </c>
      <c r="X71">
        <v>117.4</v>
      </c>
      <c r="Y71">
        <v>118.2</v>
      </c>
      <c r="Z71">
        <v>116.2</v>
      </c>
      <c r="AA71">
        <v>111.5</v>
      </c>
      <c r="AB71">
        <v>113.3</v>
      </c>
      <c r="AC71">
        <v>117.7</v>
      </c>
      <c r="AD71">
        <v>109.4</v>
      </c>
      <c r="AE71">
        <v>114.2</v>
      </c>
      <c r="AF71">
        <v>120.3</v>
      </c>
    </row>
    <row r="72" spans="1:32">
      <c r="A72" t="s">
        <v>33</v>
      </c>
      <c r="B72">
        <v>2014</v>
      </c>
      <c r="C72" t="s">
        <v>55</v>
      </c>
      <c r="D72">
        <v>12</v>
      </c>
      <c r="E72" s="1">
        <v>41974</v>
      </c>
      <c r="F72">
        <v>124</v>
      </c>
      <c r="G72">
        <v>124.7</v>
      </c>
      <c r="H72">
        <v>126.3</v>
      </c>
      <c r="I72">
        <v>124.9</v>
      </c>
      <c r="J72">
        <v>103</v>
      </c>
      <c r="K72">
        <v>122.3</v>
      </c>
      <c r="L72">
        <v>141</v>
      </c>
      <c r="M72">
        <v>120.1</v>
      </c>
      <c r="N72">
        <v>97.8</v>
      </c>
      <c r="O72">
        <v>125.4</v>
      </c>
      <c r="P72">
        <v>116.1</v>
      </c>
      <c r="Q72">
        <v>127.6</v>
      </c>
      <c r="R72">
        <v>124</v>
      </c>
      <c r="S72">
        <v>126.4</v>
      </c>
      <c r="T72">
        <v>120.7</v>
      </c>
      <c r="U72">
        <v>115.8</v>
      </c>
      <c r="V72">
        <v>120</v>
      </c>
      <c r="W72">
        <v>116.5</v>
      </c>
      <c r="X72">
        <v>113</v>
      </c>
      <c r="Y72">
        <v>116.8</v>
      </c>
      <c r="Z72">
        <v>113.2</v>
      </c>
      <c r="AA72">
        <v>108.8</v>
      </c>
      <c r="AB72">
        <v>114.3</v>
      </c>
      <c r="AC72">
        <v>120.7</v>
      </c>
      <c r="AD72">
        <v>110.4</v>
      </c>
      <c r="AE72">
        <v>113.4</v>
      </c>
      <c r="AF72">
        <v>118.4</v>
      </c>
    </row>
    <row r="73" spans="1:32">
      <c r="A73" t="s">
        <v>35</v>
      </c>
      <c r="B73">
        <v>2014</v>
      </c>
      <c r="C73" t="s">
        <v>55</v>
      </c>
      <c r="D73">
        <v>12</v>
      </c>
      <c r="E73" s="1">
        <v>41974</v>
      </c>
      <c r="F73">
        <v>122.9</v>
      </c>
      <c r="G73">
        <v>123.2</v>
      </c>
      <c r="H73">
        <v>123.5</v>
      </c>
      <c r="I73">
        <v>124.5</v>
      </c>
      <c r="J73">
        <v>107.6</v>
      </c>
      <c r="K73">
        <v>125.7</v>
      </c>
      <c r="L73">
        <v>140.5</v>
      </c>
      <c r="M73">
        <v>117.6</v>
      </c>
      <c r="N73">
        <v>100.6</v>
      </c>
      <c r="O73">
        <v>119.1</v>
      </c>
      <c r="P73">
        <v>116.8</v>
      </c>
      <c r="Q73">
        <v>126.1</v>
      </c>
      <c r="R73">
        <v>123.6</v>
      </c>
      <c r="S73">
        <v>123</v>
      </c>
      <c r="T73">
        <v>122.6</v>
      </c>
      <c r="U73">
        <v>118.6</v>
      </c>
      <c r="V73">
        <v>122</v>
      </c>
      <c r="W73">
        <v>116.5</v>
      </c>
      <c r="X73">
        <v>115.7</v>
      </c>
      <c r="Y73">
        <v>117.5</v>
      </c>
      <c r="Z73">
        <v>115.1</v>
      </c>
      <c r="AA73">
        <v>110.1</v>
      </c>
      <c r="AB73">
        <v>113.9</v>
      </c>
      <c r="AC73">
        <v>119.5</v>
      </c>
      <c r="AD73">
        <v>109.8</v>
      </c>
      <c r="AE73">
        <v>113.8</v>
      </c>
      <c r="AF73">
        <v>119.4</v>
      </c>
    </row>
    <row r="74" spans="1:32">
      <c r="A74" t="s">
        <v>30</v>
      </c>
      <c r="B74">
        <v>2015</v>
      </c>
      <c r="C74" t="s">
        <v>31</v>
      </c>
      <c r="D74">
        <v>1</v>
      </c>
      <c r="E74" s="1">
        <v>42005</v>
      </c>
      <c r="F74">
        <v>123.1</v>
      </c>
      <c r="G74">
        <v>123.1</v>
      </c>
      <c r="H74">
        <v>122.1</v>
      </c>
      <c r="I74">
        <v>124.9</v>
      </c>
      <c r="J74">
        <v>111</v>
      </c>
      <c r="K74">
        <v>130.4</v>
      </c>
      <c r="L74">
        <v>132.30000000000001</v>
      </c>
      <c r="M74">
        <v>117.2</v>
      </c>
      <c r="N74">
        <v>100.5</v>
      </c>
      <c r="O74">
        <v>117.2</v>
      </c>
      <c r="P74">
        <v>117.9</v>
      </c>
      <c r="Q74">
        <v>125.6</v>
      </c>
      <c r="R74">
        <v>122.8</v>
      </c>
      <c r="S74">
        <v>122.7</v>
      </c>
      <c r="T74">
        <v>124.4</v>
      </c>
      <c r="U74">
        <v>121.6</v>
      </c>
      <c r="V74">
        <v>124</v>
      </c>
      <c r="X74">
        <v>118.4</v>
      </c>
      <c r="Y74">
        <v>118.9</v>
      </c>
      <c r="Z74">
        <v>116.6</v>
      </c>
      <c r="AA74">
        <v>111</v>
      </c>
      <c r="AB74">
        <v>114</v>
      </c>
      <c r="AC74">
        <v>118.2</v>
      </c>
      <c r="AD74">
        <v>110.2</v>
      </c>
      <c r="AE74">
        <v>114.5</v>
      </c>
      <c r="AF74">
        <v>120.3</v>
      </c>
    </row>
    <row r="75" spans="1:32">
      <c r="A75" t="s">
        <v>33</v>
      </c>
      <c r="B75">
        <v>2015</v>
      </c>
      <c r="C75" t="s">
        <v>31</v>
      </c>
      <c r="D75">
        <v>1</v>
      </c>
      <c r="E75" s="1">
        <v>42005</v>
      </c>
      <c r="F75">
        <v>124</v>
      </c>
      <c r="G75">
        <v>125.5</v>
      </c>
      <c r="H75">
        <v>126.6</v>
      </c>
      <c r="I75">
        <v>125.2</v>
      </c>
      <c r="J75">
        <v>104.3</v>
      </c>
      <c r="K75">
        <v>121.3</v>
      </c>
      <c r="L75">
        <v>134.4</v>
      </c>
      <c r="M75">
        <v>122.9</v>
      </c>
      <c r="N75">
        <v>96.1</v>
      </c>
      <c r="O75">
        <v>126.6</v>
      </c>
      <c r="P75">
        <v>116.5</v>
      </c>
      <c r="Q75">
        <v>128</v>
      </c>
      <c r="R75">
        <v>123.5</v>
      </c>
      <c r="S75">
        <v>127.4</v>
      </c>
      <c r="T75">
        <v>121</v>
      </c>
      <c r="U75">
        <v>116.1</v>
      </c>
      <c r="V75">
        <v>120.2</v>
      </c>
      <c r="W75">
        <v>117.3</v>
      </c>
      <c r="X75">
        <v>113.4</v>
      </c>
      <c r="Y75">
        <v>117.2</v>
      </c>
      <c r="Z75">
        <v>113.7</v>
      </c>
      <c r="AA75">
        <v>107.9</v>
      </c>
      <c r="AB75">
        <v>114.6</v>
      </c>
      <c r="AC75">
        <v>120.8</v>
      </c>
      <c r="AD75">
        <v>111.4</v>
      </c>
      <c r="AE75">
        <v>113.4</v>
      </c>
      <c r="AF75">
        <v>118.5</v>
      </c>
    </row>
    <row r="76" spans="1:32">
      <c r="A76" t="s">
        <v>35</v>
      </c>
      <c r="B76">
        <v>2015</v>
      </c>
      <c r="C76" t="s">
        <v>31</v>
      </c>
      <c r="D76">
        <v>1</v>
      </c>
      <c r="E76" s="1">
        <v>42005</v>
      </c>
      <c r="F76">
        <v>123.4</v>
      </c>
      <c r="G76">
        <v>123.9</v>
      </c>
      <c r="H76">
        <v>123.8</v>
      </c>
      <c r="I76">
        <v>125</v>
      </c>
      <c r="J76">
        <v>108.5</v>
      </c>
      <c r="K76">
        <v>126.2</v>
      </c>
      <c r="L76">
        <v>133</v>
      </c>
      <c r="M76">
        <v>119.1</v>
      </c>
      <c r="N76">
        <v>99</v>
      </c>
      <c r="O76">
        <v>120.3</v>
      </c>
      <c r="P76">
        <v>117.3</v>
      </c>
      <c r="Q76">
        <v>126.7</v>
      </c>
      <c r="R76">
        <v>123.1</v>
      </c>
      <c r="S76">
        <v>124</v>
      </c>
      <c r="T76">
        <v>123.1</v>
      </c>
      <c r="U76">
        <v>119.3</v>
      </c>
      <c r="V76">
        <v>122.5</v>
      </c>
      <c r="W76">
        <v>117.3</v>
      </c>
      <c r="X76">
        <v>116.5</v>
      </c>
      <c r="Y76">
        <v>118.1</v>
      </c>
      <c r="Z76">
        <v>115.5</v>
      </c>
      <c r="AA76">
        <v>109.4</v>
      </c>
      <c r="AB76">
        <v>114.3</v>
      </c>
      <c r="AC76">
        <v>119.7</v>
      </c>
      <c r="AD76">
        <v>110.7</v>
      </c>
      <c r="AE76">
        <v>114</v>
      </c>
      <c r="AF76">
        <v>119.5</v>
      </c>
    </row>
    <row r="77" spans="1:32">
      <c r="A77" t="s">
        <v>30</v>
      </c>
      <c r="B77">
        <v>2015</v>
      </c>
      <c r="C77" t="s">
        <v>36</v>
      </c>
      <c r="D77">
        <v>2</v>
      </c>
      <c r="E77" s="1">
        <v>42036</v>
      </c>
      <c r="F77">
        <v>123.4</v>
      </c>
      <c r="G77">
        <v>124.4</v>
      </c>
      <c r="H77">
        <v>122.1</v>
      </c>
      <c r="I77">
        <v>125.8</v>
      </c>
      <c r="J77">
        <v>111.5</v>
      </c>
      <c r="K77">
        <v>129.4</v>
      </c>
      <c r="L77">
        <v>128.19999999999999</v>
      </c>
      <c r="M77">
        <v>118.8</v>
      </c>
      <c r="N77">
        <v>100</v>
      </c>
      <c r="O77">
        <v>118.6</v>
      </c>
      <c r="P77">
        <v>118.8</v>
      </c>
      <c r="Q77">
        <v>126.8</v>
      </c>
      <c r="R77">
        <v>122.8</v>
      </c>
      <c r="S77">
        <v>124.2</v>
      </c>
      <c r="T77">
        <v>125.4</v>
      </c>
      <c r="U77">
        <v>122.7</v>
      </c>
      <c r="V77">
        <v>125</v>
      </c>
      <c r="X77">
        <v>120</v>
      </c>
      <c r="Y77">
        <v>119.6</v>
      </c>
      <c r="Z77">
        <v>117.7</v>
      </c>
      <c r="AA77">
        <v>110.9</v>
      </c>
      <c r="AB77">
        <v>114.8</v>
      </c>
      <c r="AC77">
        <v>118.7</v>
      </c>
      <c r="AD77">
        <v>110.8</v>
      </c>
      <c r="AE77">
        <v>115</v>
      </c>
      <c r="AF77">
        <v>120.6</v>
      </c>
    </row>
    <row r="78" spans="1:32">
      <c r="A78" t="s">
        <v>33</v>
      </c>
      <c r="B78">
        <v>2015</v>
      </c>
      <c r="C78" t="s">
        <v>36</v>
      </c>
      <c r="D78">
        <v>2</v>
      </c>
      <c r="E78" s="1">
        <v>42036</v>
      </c>
      <c r="F78">
        <v>124.3</v>
      </c>
      <c r="G78">
        <v>126.5</v>
      </c>
      <c r="H78">
        <v>119.5</v>
      </c>
      <c r="I78">
        <v>125.6</v>
      </c>
      <c r="J78">
        <v>104.9</v>
      </c>
      <c r="K78">
        <v>121.6</v>
      </c>
      <c r="L78">
        <v>131.80000000000001</v>
      </c>
      <c r="M78">
        <v>125.1</v>
      </c>
      <c r="N78">
        <v>95</v>
      </c>
      <c r="O78">
        <v>127.7</v>
      </c>
      <c r="P78">
        <v>116.8</v>
      </c>
      <c r="Q78">
        <v>128.6</v>
      </c>
      <c r="R78">
        <v>123.7</v>
      </c>
      <c r="S78">
        <v>128.1</v>
      </c>
      <c r="T78">
        <v>121.3</v>
      </c>
      <c r="U78">
        <v>116.5</v>
      </c>
      <c r="V78">
        <v>120.6</v>
      </c>
      <c r="W78">
        <v>118.1</v>
      </c>
      <c r="X78">
        <v>114</v>
      </c>
      <c r="Y78">
        <v>117.7</v>
      </c>
      <c r="Z78">
        <v>114.1</v>
      </c>
      <c r="AA78">
        <v>106.8</v>
      </c>
      <c r="AB78">
        <v>114.9</v>
      </c>
      <c r="AC78">
        <v>120.4</v>
      </c>
      <c r="AD78">
        <v>111.7</v>
      </c>
      <c r="AE78">
        <v>113.2</v>
      </c>
      <c r="AF78">
        <v>118.7</v>
      </c>
    </row>
    <row r="79" spans="1:32">
      <c r="A79" t="s">
        <v>35</v>
      </c>
      <c r="B79">
        <v>2015</v>
      </c>
      <c r="C79" t="s">
        <v>36</v>
      </c>
      <c r="D79">
        <v>2</v>
      </c>
      <c r="E79" s="1">
        <v>42036</v>
      </c>
      <c r="F79">
        <v>123.7</v>
      </c>
      <c r="G79">
        <v>125.1</v>
      </c>
      <c r="H79">
        <v>121.1</v>
      </c>
      <c r="I79">
        <v>125.7</v>
      </c>
      <c r="J79">
        <v>109.1</v>
      </c>
      <c r="K79">
        <v>125.8</v>
      </c>
      <c r="L79">
        <v>129.4</v>
      </c>
      <c r="M79">
        <v>120.9</v>
      </c>
      <c r="N79">
        <v>98.3</v>
      </c>
      <c r="O79">
        <v>121.6</v>
      </c>
      <c r="P79">
        <v>118</v>
      </c>
      <c r="Q79">
        <v>127.6</v>
      </c>
      <c r="R79">
        <v>123.1</v>
      </c>
      <c r="S79">
        <v>125.2</v>
      </c>
      <c r="T79">
        <v>123.8</v>
      </c>
      <c r="U79">
        <v>120.1</v>
      </c>
      <c r="V79">
        <v>123.3</v>
      </c>
      <c r="W79">
        <v>118.1</v>
      </c>
      <c r="X79">
        <v>117.7</v>
      </c>
      <c r="Y79">
        <v>118.7</v>
      </c>
      <c r="Z79">
        <v>116.3</v>
      </c>
      <c r="AA79">
        <v>108.7</v>
      </c>
      <c r="AB79">
        <v>114.9</v>
      </c>
      <c r="AC79">
        <v>119.7</v>
      </c>
      <c r="AD79">
        <v>111.2</v>
      </c>
      <c r="AE79">
        <v>114.1</v>
      </c>
      <c r="AF79">
        <v>119.7</v>
      </c>
    </row>
    <row r="80" spans="1:32">
      <c r="A80" t="s">
        <v>30</v>
      </c>
      <c r="B80">
        <v>2015</v>
      </c>
      <c r="C80" t="s">
        <v>38</v>
      </c>
      <c r="D80">
        <v>3</v>
      </c>
      <c r="E80" s="1">
        <v>42064</v>
      </c>
      <c r="F80">
        <v>123.3</v>
      </c>
      <c r="G80">
        <v>124.7</v>
      </c>
      <c r="H80">
        <v>118.9</v>
      </c>
      <c r="I80">
        <v>126</v>
      </c>
      <c r="J80">
        <v>111.8</v>
      </c>
      <c r="K80">
        <v>130.9</v>
      </c>
      <c r="L80">
        <v>128</v>
      </c>
      <c r="M80">
        <v>119.9</v>
      </c>
      <c r="N80">
        <v>98.9</v>
      </c>
      <c r="O80">
        <v>119.4</v>
      </c>
      <c r="P80">
        <v>118.9</v>
      </c>
      <c r="Q80">
        <v>127.7</v>
      </c>
      <c r="R80">
        <v>123.1</v>
      </c>
      <c r="S80">
        <v>124.7</v>
      </c>
      <c r="T80">
        <v>126</v>
      </c>
      <c r="U80">
        <v>122.9</v>
      </c>
      <c r="V80">
        <v>125.5</v>
      </c>
      <c r="X80">
        <v>120.6</v>
      </c>
      <c r="Y80">
        <v>120.2</v>
      </c>
      <c r="Z80">
        <v>118.2</v>
      </c>
      <c r="AA80">
        <v>111.6</v>
      </c>
      <c r="AB80">
        <v>115.5</v>
      </c>
      <c r="AC80">
        <v>119.4</v>
      </c>
      <c r="AD80">
        <v>110.8</v>
      </c>
      <c r="AE80">
        <v>115.5</v>
      </c>
      <c r="AF80">
        <v>121.1</v>
      </c>
    </row>
    <row r="81" spans="1:32">
      <c r="A81" t="s">
        <v>33</v>
      </c>
      <c r="B81">
        <v>2015</v>
      </c>
      <c r="C81" t="s">
        <v>38</v>
      </c>
      <c r="D81">
        <v>3</v>
      </c>
      <c r="E81" s="1">
        <v>42064</v>
      </c>
      <c r="F81">
        <v>124</v>
      </c>
      <c r="G81">
        <v>126.7</v>
      </c>
      <c r="H81">
        <v>113.5</v>
      </c>
      <c r="I81">
        <v>125.9</v>
      </c>
      <c r="J81">
        <v>104.8</v>
      </c>
      <c r="K81">
        <v>123.8</v>
      </c>
      <c r="L81">
        <v>131.4</v>
      </c>
      <c r="M81">
        <v>127.2</v>
      </c>
      <c r="N81">
        <v>93.2</v>
      </c>
      <c r="O81">
        <v>127.4</v>
      </c>
      <c r="P81">
        <v>117</v>
      </c>
      <c r="Q81">
        <v>129.19999999999999</v>
      </c>
      <c r="R81">
        <v>123.9</v>
      </c>
      <c r="S81">
        <v>128.80000000000001</v>
      </c>
      <c r="T81">
        <v>121.7</v>
      </c>
      <c r="U81">
        <v>116.9</v>
      </c>
      <c r="V81">
        <v>120.9</v>
      </c>
      <c r="W81">
        <v>118.6</v>
      </c>
      <c r="X81">
        <v>114.4</v>
      </c>
      <c r="Y81">
        <v>118</v>
      </c>
      <c r="Z81">
        <v>114.3</v>
      </c>
      <c r="AA81">
        <v>108.4</v>
      </c>
      <c r="AB81">
        <v>115.4</v>
      </c>
      <c r="AC81">
        <v>120.6</v>
      </c>
      <c r="AD81">
        <v>111.3</v>
      </c>
      <c r="AE81">
        <v>113.8</v>
      </c>
      <c r="AF81">
        <v>119.1</v>
      </c>
    </row>
    <row r="82" spans="1:32">
      <c r="A82" t="s">
        <v>35</v>
      </c>
      <c r="B82">
        <v>2015</v>
      </c>
      <c r="C82" t="s">
        <v>38</v>
      </c>
      <c r="D82">
        <v>3</v>
      </c>
      <c r="E82" s="1">
        <v>42064</v>
      </c>
      <c r="F82">
        <v>123.5</v>
      </c>
      <c r="G82">
        <v>125.4</v>
      </c>
      <c r="H82">
        <v>116.8</v>
      </c>
      <c r="I82">
        <v>126</v>
      </c>
      <c r="J82">
        <v>109.2</v>
      </c>
      <c r="K82">
        <v>127.6</v>
      </c>
      <c r="L82">
        <v>129.19999999999999</v>
      </c>
      <c r="M82">
        <v>122.4</v>
      </c>
      <c r="N82">
        <v>97</v>
      </c>
      <c r="O82">
        <v>122.1</v>
      </c>
      <c r="P82">
        <v>118.1</v>
      </c>
      <c r="Q82">
        <v>128.4</v>
      </c>
      <c r="R82">
        <v>123.4</v>
      </c>
      <c r="S82">
        <v>125.8</v>
      </c>
      <c r="T82">
        <v>124.3</v>
      </c>
      <c r="U82">
        <v>120.4</v>
      </c>
      <c r="V82">
        <v>123.7</v>
      </c>
      <c r="W82">
        <v>118.6</v>
      </c>
      <c r="X82">
        <v>118.3</v>
      </c>
      <c r="Y82">
        <v>119.2</v>
      </c>
      <c r="Z82">
        <v>116.7</v>
      </c>
      <c r="AA82">
        <v>109.9</v>
      </c>
      <c r="AB82">
        <v>115.4</v>
      </c>
      <c r="AC82">
        <v>120.1</v>
      </c>
      <c r="AD82">
        <v>111</v>
      </c>
      <c r="AE82">
        <v>114.7</v>
      </c>
      <c r="AF82">
        <v>120.2</v>
      </c>
    </row>
    <row r="83" spans="1:32">
      <c r="A83" t="s">
        <v>30</v>
      </c>
      <c r="B83">
        <v>2015</v>
      </c>
      <c r="C83" t="s">
        <v>39</v>
      </c>
      <c r="D83">
        <v>4</v>
      </c>
      <c r="E83" s="1">
        <v>42095</v>
      </c>
      <c r="F83">
        <v>123.3</v>
      </c>
      <c r="G83">
        <v>125.5</v>
      </c>
      <c r="H83">
        <v>117.2</v>
      </c>
      <c r="I83">
        <v>126.8</v>
      </c>
      <c r="J83">
        <v>111.9</v>
      </c>
      <c r="K83">
        <v>134.19999999999999</v>
      </c>
      <c r="L83">
        <v>127.5</v>
      </c>
      <c r="M83">
        <v>121.5</v>
      </c>
      <c r="N83">
        <v>97.8</v>
      </c>
      <c r="O83">
        <v>119.8</v>
      </c>
      <c r="P83">
        <v>119.4</v>
      </c>
      <c r="Q83">
        <v>128.69999999999999</v>
      </c>
      <c r="R83">
        <v>123.6</v>
      </c>
      <c r="S83">
        <v>125.7</v>
      </c>
      <c r="T83">
        <v>126.4</v>
      </c>
      <c r="U83">
        <v>123.3</v>
      </c>
      <c r="V83">
        <v>126</v>
      </c>
      <c r="X83">
        <v>121.2</v>
      </c>
      <c r="Y83">
        <v>120.9</v>
      </c>
      <c r="Z83">
        <v>118.6</v>
      </c>
      <c r="AA83">
        <v>111.9</v>
      </c>
      <c r="AB83">
        <v>116.2</v>
      </c>
      <c r="AC83">
        <v>119.9</v>
      </c>
      <c r="AD83">
        <v>111.6</v>
      </c>
      <c r="AE83">
        <v>116</v>
      </c>
      <c r="AF83">
        <v>121.5</v>
      </c>
    </row>
    <row r="84" spans="1:32">
      <c r="A84" t="s">
        <v>33</v>
      </c>
      <c r="B84">
        <v>2015</v>
      </c>
      <c r="C84" t="s">
        <v>39</v>
      </c>
      <c r="D84">
        <v>4</v>
      </c>
      <c r="E84" s="1">
        <v>42095</v>
      </c>
      <c r="F84">
        <v>123.8</v>
      </c>
      <c r="G84">
        <v>128.19999999999999</v>
      </c>
      <c r="H84">
        <v>110</v>
      </c>
      <c r="I84">
        <v>126.3</v>
      </c>
      <c r="J84">
        <v>104.5</v>
      </c>
      <c r="K84">
        <v>130.6</v>
      </c>
      <c r="L84">
        <v>130.80000000000001</v>
      </c>
      <c r="M84">
        <v>131.30000000000001</v>
      </c>
      <c r="N84">
        <v>91.6</v>
      </c>
      <c r="O84">
        <v>127.7</v>
      </c>
      <c r="P84">
        <v>117.2</v>
      </c>
      <c r="Q84">
        <v>129.5</v>
      </c>
      <c r="R84">
        <v>124.6</v>
      </c>
      <c r="S84">
        <v>130.1</v>
      </c>
      <c r="T84">
        <v>122.1</v>
      </c>
      <c r="U84">
        <v>117.2</v>
      </c>
      <c r="V84">
        <v>121.3</v>
      </c>
      <c r="W84">
        <v>119.2</v>
      </c>
      <c r="X84">
        <v>114.7</v>
      </c>
      <c r="Y84">
        <v>118.4</v>
      </c>
      <c r="Z84">
        <v>114.6</v>
      </c>
      <c r="AA84">
        <v>108.4</v>
      </c>
      <c r="AB84">
        <v>115.6</v>
      </c>
      <c r="AC84">
        <v>121.7</v>
      </c>
      <c r="AD84">
        <v>111.8</v>
      </c>
      <c r="AE84">
        <v>114.2</v>
      </c>
      <c r="AF84">
        <v>119.7</v>
      </c>
    </row>
    <row r="85" spans="1:32">
      <c r="A85" t="s">
        <v>35</v>
      </c>
      <c r="B85">
        <v>2015</v>
      </c>
      <c r="C85" t="s">
        <v>39</v>
      </c>
      <c r="D85">
        <v>4</v>
      </c>
      <c r="E85" s="1">
        <v>42095</v>
      </c>
      <c r="F85">
        <v>123.5</v>
      </c>
      <c r="G85">
        <v>126.4</v>
      </c>
      <c r="H85">
        <v>114.4</v>
      </c>
      <c r="I85">
        <v>126.6</v>
      </c>
      <c r="J85">
        <v>109.2</v>
      </c>
      <c r="K85">
        <v>132.5</v>
      </c>
      <c r="L85">
        <v>128.6</v>
      </c>
      <c r="M85">
        <v>124.8</v>
      </c>
      <c r="N85">
        <v>95.7</v>
      </c>
      <c r="O85">
        <v>122.4</v>
      </c>
      <c r="P85">
        <v>118.5</v>
      </c>
      <c r="Q85">
        <v>129.1</v>
      </c>
      <c r="R85">
        <v>124</v>
      </c>
      <c r="S85">
        <v>126.9</v>
      </c>
      <c r="T85">
        <v>124.7</v>
      </c>
      <c r="U85">
        <v>120.8</v>
      </c>
      <c r="V85">
        <v>124.1</v>
      </c>
      <c r="W85">
        <v>119.2</v>
      </c>
      <c r="X85">
        <v>118.7</v>
      </c>
      <c r="Y85">
        <v>119.7</v>
      </c>
      <c r="Z85">
        <v>117.1</v>
      </c>
      <c r="AA85">
        <v>110.1</v>
      </c>
      <c r="AB85">
        <v>115.9</v>
      </c>
      <c r="AC85">
        <v>121</v>
      </c>
      <c r="AD85">
        <v>111.7</v>
      </c>
      <c r="AE85">
        <v>115.1</v>
      </c>
      <c r="AF85">
        <v>120.7</v>
      </c>
    </row>
    <row r="86" spans="1:32">
      <c r="A86" t="s">
        <v>30</v>
      </c>
      <c r="B86">
        <v>2015</v>
      </c>
      <c r="C86" t="s">
        <v>41</v>
      </c>
      <c r="D86">
        <v>5</v>
      </c>
      <c r="E86" s="1">
        <v>42125</v>
      </c>
      <c r="F86">
        <v>123.5</v>
      </c>
      <c r="G86">
        <v>127.1</v>
      </c>
      <c r="H86">
        <v>117.3</v>
      </c>
      <c r="I86">
        <v>127.7</v>
      </c>
      <c r="J86">
        <v>112.5</v>
      </c>
      <c r="K86">
        <v>134.1</v>
      </c>
      <c r="L86">
        <v>128.5</v>
      </c>
      <c r="M86">
        <v>124.3</v>
      </c>
      <c r="N86">
        <v>97.6</v>
      </c>
      <c r="O86">
        <v>120.7</v>
      </c>
      <c r="P86">
        <v>120.2</v>
      </c>
      <c r="Q86">
        <v>129.80000000000001</v>
      </c>
      <c r="R86">
        <v>124.4</v>
      </c>
      <c r="S86">
        <v>126.7</v>
      </c>
      <c r="T86">
        <v>127.3</v>
      </c>
      <c r="U86">
        <v>124.1</v>
      </c>
      <c r="V86">
        <v>126.8</v>
      </c>
      <c r="X86">
        <v>121.9</v>
      </c>
      <c r="Y86">
        <v>121.5</v>
      </c>
      <c r="Z86">
        <v>119.4</v>
      </c>
      <c r="AA86">
        <v>113.3</v>
      </c>
      <c r="AB86">
        <v>116.7</v>
      </c>
      <c r="AC86">
        <v>120.5</v>
      </c>
      <c r="AD86">
        <v>112.3</v>
      </c>
      <c r="AE86">
        <v>116.9</v>
      </c>
      <c r="AF86">
        <v>122.4</v>
      </c>
    </row>
    <row r="87" spans="1:32">
      <c r="A87" t="s">
        <v>33</v>
      </c>
      <c r="B87">
        <v>2015</v>
      </c>
      <c r="C87" t="s">
        <v>41</v>
      </c>
      <c r="D87">
        <v>5</v>
      </c>
      <c r="E87" s="1">
        <v>42125</v>
      </c>
      <c r="F87">
        <v>123.8</v>
      </c>
      <c r="G87">
        <v>129.69999999999999</v>
      </c>
      <c r="H87">
        <v>111.3</v>
      </c>
      <c r="I87">
        <v>126.6</v>
      </c>
      <c r="J87">
        <v>105.2</v>
      </c>
      <c r="K87">
        <v>130.80000000000001</v>
      </c>
      <c r="L87">
        <v>135.6</v>
      </c>
      <c r="M87">
        <v>142.6</v>
      </c>
      <c r="N87">
        <v>90.8</v>
      </c>
      <c r="O87">
        <v>128.80000000000001</v>
      </c>
      <c r="P87">
        <v>117.7</v>
      </c>
      <c r="Q87">
        <v>129.9</v>
      </c>
      <c r="R87">
        <v>126.1</v>
      </c>
      <c r="S87">
        <v>131.30000000000001</v>
      </c>
      <c r="T87">
        <v>122.4</v>
      </c>
      <c r="U87">
        <v>117.4</v>
      </c>
      <c r="V87">
        <v>121.6</v>
      </c>
      <c r="W87">
        <v>119.6</v>
      </c>
      <c r="X87">
        <v>114.9</v>
      </c>
      <c r="Y87">
        <v>118.7</v>
      </c>
      <c r="Z87">
        <v>114.9</v>
      </c>
      <c r="AA87">
        <v>110.8</v>
      </c>
      <c r="AB87">
        <v>116</v>
      </c>
      <c r="AC87">
        <v>122</v>
      </c>
      <c r="AD87">
        <v>112.4</v>
      </c>
      <c r="AE87">
        <v>115.2</v>
      </c>
      <c r="AF87">
        <v>120.7</v>
      </c>
    </row>
    <row r="88" spans="1:32">
      <c r="A88" t="s">
        <v>35</v>
      </c>
      <c r="B88">
        <v>2015</v>
      </c>
      <c r="C88" t="s">
        <v>41</v>
      </c>
      <c r="D88">
        <v>5</v>
      </c>
      <c r="E88" s="1">
        <v>42125</v>
      </c>
      <c r="F88">
        <v>123.6</v>
      </c>
      <c r="G88">
        <v>128</v>
      </c>
      <c r="H88">
        <v>115</v>
      </c>
      <c r="I88">
        <v>127.3</v>
      </c>
      <c r="J88">
        <v>109.8</v>
      </c>
      <c r="K88">
        <v>132.6</v>
      </c>
      <c r="L88">
        <v>130.9</v>
      </c>
      <c r="M88">
        <v>130.5</v>
      </c>
      <c r="N88">
        <v>95.3</v>
      </c>
      <c r="O88">
        <v>123.4</v>
      </c>
      <c r="P88">
        <v>119.2</v>
      </c>
      <c r="Q88">
        <v>129.80000000000001</v>
      </c>
      <c r="R88">
        <v>125</v>
      </c>
      <c r="S88">
        <v>127.9</v>
      </c>
      <c r="T88">
        <v>125.4</v>
      </c>
      <c r="U88">
        <v>121.3</v>
      </c>
      <c r="V88">
        <v>124.7</v>
      </c>
      <c r="W88">
        <v>119.6</v>
      </c>
      <c r="X88">
        <v>119.2</v>
      </c>
      <c r="Y88">
        <v>120.2</v>
      </c>
      <c r="Z88">
        <v>117.7</v>
      </c>
      <c r="AA88">
        <v>112</v>
      </c>
      <c r="AB88">
        <v>116.3</v>
      </c>
      <c r="AC88">
        <v>121.4</v>
      </c>
      <c r="AD88">
        <v>112.3</v>
      </c>
      <c r="AE88">
        <v>116.1</v>
      </c>
      <c r="AF88">
        <v>121.6</v>
      </c>
    </row>
    <row r="89" spans="1:32">
      <c r="A89" t="s">
        <v>30</v>
      </c>
      <c r="B89">
        <v>2015</v>
      </c>
      <c r="C89" t="s">
        <v>42</v>
      </c>
      <c r="D89">
        <v>6</v>
      </c>
      <c r="E89" s="1">
        <v>42156</v>
      </c>
      <c r="F89">
        <v>124.1</v>
      </c>
      <c r="G89">
        <v>130.4</v>
      </c>
      <c r="H89">
        <v>122.1</v>
      </c>
      <c r="I89">
        <v>128.69999999999999</v>
      </c>
      <c r="J89">
        <v>114.1</v>
      </c>
      <c r="K89">
        <v>133.19999999999999</v>
      </c>
      <c r="L89">
        <v>135.19999999999999</v>
      </c>
      <c r="M89">
        <v>131.9</v>
      </c>
      <c r="N89">
        <v>96.3</v>
      </c>
      <c r="O89">
        <v>123</v>
      </c>
      <c r="P89">
        <v>121.1</v>
      </c>
      <c r="Q89">
        <v>131.19999999999999</v>
      </c>
      <c r="R89">
        <v>126.6</v>
      </c>
      <c r="S89">
        <v>128.19999999999999</v>
      </c>
      <c r="T89">
        <v>128.4</v>
      </c>
      <c r="U89">
        <v>125.1</v>
      </c>
      <c r="V89">
        <v>128</v>
      </c>
      <c r="X89">
        <v>122.6</v>
      </c>
      <c r="Y89">
        <v>122.8</v>
      </c>
      <c r="Z89">
        <v>120.4</v>
      </c>
      <c r="AA89">
        <v>114.2</v>
      </c>
      <c r="AB89">
        <v>117.9</v>
      </c>
      <c r="AC89">
        <v>122</v>
      </c>
      <c r="AD89">
        <v>113</v>
      </c>
      <c r="AE89">
        <v>117.9</v>
      </c>
      <c r="AF89">
        <v>124.1</v>
      </c>
    </row>
    <row r="90" spans="1:32">
      <c r="A90" t="s">
        <v>33</v>
      </c>
      <c r="B90">
        <v>2015</v>
      </c>
      <c r="C90" t="s">
        <v>42</v>
      </c>
      <c r="D90">
        <v>6</v>
      </c>
      <c r="E90" s="1">
        <v>42156</v>
      </c>
      <c r="F90">
        <v>123.6</v>
      </c>
      <c r="G90">
        <v>134.4</v>
      </c>
      <c r="H90">
        <v>120.9</v>
      </c>
      <c r="I90">
        <v>127.3</v>
      </c>
      <c r="J90">
        <v>106</v>
      </c>
      <c r="K90">
        <v>132.30000000000001</v>
      </c>
      <c r="L90">
        <v>146.69999999999999</v>
      </c>
      <c r="M90">
        <v>148.1</v>
      </c>
      <c r="N90">
        <v>89.8</v>
      </c>
      <c r="O90">
        <v>130.5</v>
      </c>
      <c r="P90">
        <v>118</v>
      </c>
      <c r="Q90">
        <v>130.5</v>
      </c>
      <c r="R90">
        <v>128.5</v>
      </c>
      <c r="S90">
        <v>132.1</v>
      </c>
      <c r="T90">
        <v>123.2</v>
      </c>
      <c r="U90">
        <v>117.6</v>
      </c>
      <c r="V90">
        <v>122.3</v>
      </c>
      <c r="W90">
        <v>119</v>
      </c>
      <c r="X90">
        <v>115.1</v>
      </c>
      <c r="Y90">
        <v>119.2</v>
      </c>
      <c r="Z90">
        <v>115.4</v>
      </c>
      <c r="AA90">
        <v>111.7</v>
      </c>
      <c r="AB90">
        <v>116.2</v>
      </c>
      <c r="AC90">
        <v>123.8</v>
      </c>
      <c r="AD90">
        <v>112.5</v>
      </c>
      <c r="AE90">
        <v>116</v>
      </c>
      <c r="AF90">
        <v>121.7</v>
      </c>
    </row>
    <row r="91" spans="1:32">
      <c r="A91" t="s">
        <v>35</v>
      </c>
      <c r="B91">
        <v>2015</v>
      </c>
      <c r="C91" t="s">
        <v>42</v>
      </c>
      <c r="D91">
        <v>6</v>
      </c>
      <c r="E91" s="1">
        <v>42156</v>
      </c>
      <c r="F91">
        <v>123.9</v>
      </c>
      <c r="G91">
        <v>131.80000000000001</v>
      </c>
      <c r="H91">
        <v>121.6</v>
      </c>
      <c r="I91">
        <v>128.19999999999999</v>
      </c>
      <c r="J91">
        <v>111.1</v>
      </c>
      <c r="K91">
        <v>132.80000000000001</v>
      </c>
      <c r="L91">
        <v>139.1</v>
      </c>
      <c r="M91">
        <v>137.4</v>
      </c>
      <c r="N91">
        <v>94.1</v>
      </c>
      <c r="O91">
        <v>125.5</v>
      </c>
      <c r="P91">
        <v>119.8</v>
      </c>
      <c r="Q91">
        <v>130.9</v>
      </c>
      <c r="R91">
        <v>127.3</v>
      </c>
      <c r="S91">
        <v>129.19999999999999</v>
      </c>
      <c r="T91">
        <v>126.4</v>
      </c>
      <c r="U91">
        <v>122</v>
      </c>
      <c r="V91">
        <v>125.7</v>
      </c>
      <c r="W91">
        <v>119</v>
      </c>
      <c r="X91">
        <v>119.8</v>
      </c>
      <c r="Y91">
        <v>121.1</v>
      </c>
      <c r="Z91">
        <v>118.5</v>
      </c>
      <c r="AA91">
        <v>112.9</v>
      </c>
      <c r="AB91">
        <v>116.9</v>
      </c>
      <c r="AC91">
        <v>123.1</v>
      </c>
      <c r="AD91">
        <v>112.8</v>
      </c>
      <c r="AE91">
        <v>117</v>
      </c>
      <c r="AF91">
        <v>123</v>
      </c>
    </row>
    <row r="92" spans="1:32">
      <c r="A92" t="s">
        <v>30</v>
      </c>
      <c r="B92">
        <v>2015</v>
      </c>
      <c r="C92" t="s">
        <v>44</v>
      </c>
      <c r="D92">
        <v>7</v>
      </c>
      <c r="E92" s="1">
        <v>42186</v>
      </c>
      <c r="F92">
        <v>124</v>
      </c>
      <c r="G92">
        <v>131.5</v>
      </c>
      <c r="H92">
        <v>122</v>
      </c>
      <c r="I92">
        <v>128.69999999999999</v>
      </c>
      <c r="J92">
        <v>113.5</v>
      </c>
      <c r="K92">
        <v>133.30000000000001</v>
      </c>
      <c r="L92">
        <v>140.80000000000001</v>
      </c>
      <c r="M92">
        <v>133.80000000000001</v>
      </c>
      <c r="N92">
        <v>94.1</v>
      </c>
      <c r="O92">
        <v>123.4</v>
      </c>
      <c r="P92">
        <v>121</v>
      </c>
      <c r="Q92">
        <v>131.69999999999999</v>
      </c>
      <c r="R92">
        <v>127.5</v>
      </c>
      <c r="S92">
        <v>129.4</v>
      </c>
      <c r="T92">
        <v>128.80000000000001</v>
      </c>
      <c r="U92">
        <v>125.5</v>
      </c>
      <c r="V92">
        <v>128.30000000000001</v>
      </c>
      <c r="X92">
        <v>123</v>
      </c>
      <c r="Y92">
        <v>123</v>
      </c>
      <c r="Z92">
        <v>120.8</v>
      </c>
      <c r="AA92">
        <v>114.1</v>
      </c>
      <c r="AB92">
        <v>118</v>
      </c>
      <c r="AC92">
        <v>122.9</v>
      </c>
      <c r="AD92">
        <v>112.7</v>
      </c>
      <c r="AE92">
        <v>118.1</v>
      </c>
      <c r="AF92">
        <v>124.7</v>
      </c>
    </row>
    <row r="93" spans="1:32">
      <c r="A93" t="s">
        <v>33</v>
      </c>
      <c r="B93">
        <v>2015</v>
      </c>
      <c r="C93" t="s">
        <v>44</v>
      </c>
      <c r="D93">
        <v>7</v>
      </c>
      <c r="E93" s="1">
        <v>42186</v>
      </c>
      <c r="F93">
        <v>123.2</v>
      </c>
      <c r="G93">
        <v>134.30000000000001</v>
      </c>
      <c r="H93">
        <v>119.5</v>
      </c>
      <c r="I93">
        <v>127.7</v>
      </c>
      <c r="J93">
        <v>106.3</v>
      </c>
      <c r="K93">
        <v>132.80000000000001</v>
      </c>
      <c r="L93">
        <v>153.5</v>
      </c>
      <c r="M93">
        <v>149.5</v>
      </c>
      <c r="N93">
        <v>85.7</v>
      </c>
      <c r="O93">
        <v>131.5</v>
      </c>
      <c r="P93">
        <v>118.3</v>
      </c>
      <c r="Q93">
        <v>131.1</v>
      </c>
      <c r="R93">
        <v>129.5</v>
      </c>
      <c r="S93">
        <v>133.1</v>
      </c>
      <c r="T93">
        <v>123.5</v>
      </c>
      <c r="U93">
        <v>117.9</v>
      </c>
      <c r="V93">
        <v>122.7</v>
      </c>
      <c r="W93">
        <v>119.9</v>
      </c>
      <c r="X93">
        <v>115.3</v>
      </c>
      <c r="Y93">
        <v>119.5</v>
      </c>
      <c r="Z93">
        <v>116</v>
      </c>
      <c r="AA93">
        <v>111.5</v>
      </c>
      <c r="AB93">
        <v>116.6</v>
      </c>
      <c r="AC93">
        <v>125.4</v>
      </c>
      <c r="AD93">
        <v>111.7</v>
      </c>
      <c r="AE93">
        <v>116.3</v>
      </c>
      <c r="AF93">
        <v>122.4</v>
      </c>
    </row>
    <row r="94" spans="1:32">
      <c r="A94" t="s">
        <v>35</v>
      </c>
      <c r="B94">
        <v>2015</v>
      </c>
      <c r="C94" t="s">
        <v>44</v>
      </c>
      <c r="D94">
        <v>7</v>
      </c>
      <c r="E94" s="1">
        <v>42186</v>
      </c>
      <c r="F94">
        <v>123.7</v>
      </c>
      <c r="G94">
        <v>132.5</v>
      </c>
      <c r="H94">
        <v>121</v>
      </c>
      <c r="I94">
        <v>128.30000000000001</v>
      </c>
      <c r="J94">
        <v>110.9</v>
      </c>
      <c r="K94">
        <v>133.1</v>
      </c>
      <c r="L94">
        <v>145.1</v>
      </c>
      <c r="M94">
        <v>139.1</v>
      </c>
      <c r="N94">
        <v>91.3</v>
      </c>
      <c r="O94">
        <v>126.1</v>
      </c>
      <c r="P94">
        <v>119.9</v>
      </c>
      <c r="Q94">
        <v>131.4</v>
      </c>
      <c r="R94">
        <v>128.19999999999999</v>
      </c>
      <c r="S94">
        <v>130.4</v>
      </c>
      <c r="T94">
        <v>126.7</v>
      </c>
      <c r="U94">
        <v>122.3</v>
      </c>
      <c r="V94">
        <v>126.1</v>
      </c>
      <c r="W94">
        <v>119.9</v>
      </c>
      <c r="X94">
        <v>120.1</v>
      </c>
      <c r="Y94">
        <v>121.3</v>
      </c>
      <c r="Z94">
        <v>119</v>
      </c>
      <c r="AA94">
        <v>112.7</v>
      </c>
      <c r="AB94">
        <v>117.2</v>
      </c>
      <c r="AC94">
        <v>124.4</v>
      </c>
      <c r="AD94">
        <v>112.3</v>
      </c>
      <c r="AE94">
        <v>117.2</v>
      </c>
      <c r="AF94">
        <v>123.6</v>
      </c>
    </row>
    <row r="95" spans="1:32">
      <c r="A95" t="s">
        <v>30</v>
      </c>
      <c r="B95">
        <v>2015</v>
      </c>
      <c r="C95" t="s">
        <v>46</v>
      </c>
      <c r="D95">
        <v>8</v>
      </c>
      <c r="E95" s="1">
        <v>42217</v>
      </c>
      <c r="F95">
        <v>124.7</v>
      </c>
      <c r="G95">
        <v>131.30000000000001</v>
      </c>
      <c r="H95">
        <v>121.3</v>
      </c>
      <c r="I95">
        <v>128.80000000000001</v>
      </c>
      <c r="J95">
        <v>114</v>
      </c>
      <c r="K95">
        <v>134.19999999999999</v>
      </c>
      <c r="L95">
        <v>153.6</v>
      </c>
      <c r="M95">
        <v>137.9</v>
      </c>
      <c r="N95">
        <v>93.1</v>
      </c>
      <c r="O95">
        <v>123.9</v>
      </c>
      <c r="P95">
        <v>121.5</v>
      </c>
      <c r="Q95">
        <v>132.5</v>
      </c>
      <c r="R95">
        <v>129.80000000000001</v>
      </c>
      <c r="S95">
        <v>130.1</v>
      </c>
      <c r="T95">
        <v>129.5</v>
      </c>
      <c r="U95">
        <v>126.3</v>
      </c>
      <c r="V95">
        <v>129</v>
      </c>
      <c r="X95">
        <v>123.8</v>
      </c>
      <c r="Y95">
        <v>123.7</v>
      </c>
      <c r="Z95">
        <v>121.1</v>
      </c>
      <c r="AA95">
        <v>113.6</v>
      </c>
      <c r="AB95">
        <v>118.5</v>
      </c>
      <c r="AC95">
        <v>123.6</v>
      </c>
      <c r="AD95">
        <v>112.5</v>
      </c>
      <c r="AE95">
        <v>118.2</v>
      </c>
      <c r="AF95">
        <v>126.1</v>
      </c>
    </row>
    <row r="96" spans="1:32">
      <c r="A96" t="s">
        <v>33</v>
      </c>
      <c r="B96">
        <v>2015</v>
      </c>
      <c r="C96" t="s">
        <v>46</v>
      </c>
      <c r="D96">
        <v>8</v>
      </c>
      <c r="E96" s="1">
        <v>42217</v>
      </c>
      <c r="F96">
        <v>123.1</v>
      </c>
      <c r="G96">
        <v>131.69999999999999</v>
      </c>
      <c r="H96">
        <v>118.1</v>
      </c>
      <c r="I96">
        <v>128</v>
      </c>
      <c r="J96">
        <v>106.8</v>
      </c>
      <c r="K96">
        <v>130.1</v>
      </c>
      <c r="L96">
        <v>165.5</v>
      </c>
      <c r="M96">
        <v>156</v>
      </c>
      <c r="N96">
        <v>85.3</v>
      </c>
      <c r="O96">
        <v>132.69999999999999</v>
      </c>
      <c r="P96">
        <v>118.8</v>
      </c>
      <c r="Q96">
        <v>131.69999999999999</v>
      </c>
      <c r="R96">
        <v>131.1</v>
      </c>
      <c r="S96">
        <v>134.19999999999999</v>
      </c>
      <c r="T96">
        <v>123.7</v>
      </c>
      <c r="U96">
        <v>118.2</v>
      </c>
      <c r="V96">
        <v>122.9</v>
      </c>
      <c r="W96">
        <v>120.9</v>
      </c>
      <c r="X96">
        <v>115.3</v>
      </c>
      <c r="Y96">
        <v>120</v>
      </c>
      <c r="Z96">
        <v>116.6</v>
      </c>
      <c r="AA96">
        <v>109.9</v>
      </c>
      <c r="AB96">
        <v>117.2</v>
      </c>
      <c r="AC96">
        <v>126.2</v>
      </c>
      <c r="AD96">
        <v>112</v>
      </c>
      <c r="AE96">
        <v>116.2</v>
      </c>
      <c r="AF96">
        <v>123.2</v>
      </c>
    </row>
    <row r="97" spans="1:32">
      <c r="A97" t="s">
        <v>35</v>
      </c>
      <c r="B97">
        <v>2015</v>
      </c>
      <c r="C97" t="s">
        <v>46</v>
      </c>
      <c r="D97">
        <v>8</v>
      </c>
      <c r="E97" s="1">
        <v>42217</v>
      </c>
      <c r="F97">
        <v>124.2</v>
      </c>
      <c r="G97">
        <v>131.4</v>
      </c>
      <c r="H97">
        <v>120.1</v>
      </c>
      <c r="I97">
        <v>128.5</v>
      </c>
      <c r="J97">
        <v>111.4</v>
      </c>
      <c r="K97">
        <v>132.30000000000001</v>
      </c>
      <c r="L97">
        <v>157.6</v>
      </c>
      <c r="M97">
        <v>144</v>
      </c>
      <c r="N97">
        <v>90.5</v>
      </c>
      <c r="O97">
        <v>126.8</v>
      </c>
      <c r="P97">
        <v>120.4</v>
      </c>
      <c r="Q97">
        <v>132.1</v>
      </c>
      <c r="R97">
        <v>130.30000000000001</v>
      </c>
      <c r="S97">
        <v>131.19999999999999</v>
      </c>
      <c r="T97">
        <v>127.2</v>
      </c>
      <c r="U97">
        <v>122.9</v>
      </c>
      <c r="V97">
        <v>126.6</v>
      </c>
      <c r="W97">
        <v>120.9</v>
      </c>
      <c r="X97">
        <v>120.6</v>
      </c>
      <c r="Y97">
        <v>122</v>
      </c>
      <c r="Z97">
        <v>119.4</v>
      </c>
      <c r="AA97">
        <v>111.7</v>
      </c>
      <c r="AB97">
        <v>117.8</v>
      </c>
      <c r="AC97">
        <v>125.1</v>
      </c>
      <c r="AD97">
        <v>112.3</v>
      </c>
      <c r="AE97">
        <v>117.2</v>
      </c>
      <c r="AF97">
        <v>124.8</v>
      </c>
    </row>
    <row r="98" spans="1:32">
      <c r="A98" t="s">
        <v>30</v>
      </c>
      <c r="B98">
        <v>2015</v>
      </c>
      <c r="C98" t="s">
        <v>48</v>
      </c>
      <c r="D98">
        <v>9</v>
      </c>
      <c r="E98" s="1">
        <v>42248</v>
      </c>
      <c r="F98">
        <v>125.1</v>
      </c>
      <c r="G98">
        <v>131.1</v>
      </c>
      <c r="H98">
        <v>120.7</v>
      </c>
      <c r="I98">
        <v>129.19999999999999</v>
      </c>
      <c r="J98">
        <v>114.7</v>
      </c>
      <c r="K98">
        <v>132.30000000000001</v>
      </c>
      <c r="L98">
        <v>158.9</v>
      </c>
      <c r="M98">
        <v>142.1</v>
      </c>
      <c r="N98">
        <v>92.5</v>
      </c>
      <c r="O98">
        <v>125.4</v>
      </c>
      <c r="P98">
        <v>121.9</v>
      </c>
      <c r="Q98">
        <v>132.69999999999999</v>
      </c>
      <c r="R98">
        <v>131</v>
      </c>
      <c r="S98">
        <v>131</v>
      </c>
      <c r="T98">
        <v>130.4</v>
      </c>
      <c r="U98">
        <v>126.8</v>
      </c>
      <c r="V98">
        <v>129.9</v>
      </c>
      <c r="X98">
        <v>123.7</v>
      </c>
      <c r="Y98">
        <v>124.5</v>
      </c>
      <c r="Z98">
        <v>121.4</v>
      </c>
      <c r="AA98">
        <v>113.8</v>
      </c>
      <c r="AB98">
        <v>119.6</v>
      </c>
      <c r="AC98">
        <v>124.5</v>
      </c>
      <c r="AD98">
        <v>113.7</v>
      </c>
      <c r="AE98">
        <v>118.8</v>
      </c>
      <c r="AF98">
        <v>127</v>
      </c>
    </row>
    <row r="99" spans="1:32">
      <c r="A99" t="s">
        <v>33</v>
      </c>
      <c r="B99">
        <v>2015</v>
      </c>
      <c r="C99" t="s">
        <v>48</v>
      </c>
      <c r="D99">
        <v>9</v>
      </c>
      <c r="E99" s="1">
        <v>42248</v>
      </c>
      <c r="F99">
        <v>123.4</v>
      </c>
      <c r="G99">
        <v>129</v>
      </c>
      <c r="H99">
        <v>115.6</v>
      </c>
      <c r="I99">
        <v>128.30000000000001</v>
      </c>
      <c r="J99">
        <v>107</v>
      </c>
      <c r="K99">
        <v>124</v>
      </c>
      <c r="L99">
        <v>168.5</v>
      </c>
      <c r="M99">
        <v>165.4</v>
      </c>
      <c r="N99">
        <v>86.3</v>
      </c>
      <c r="O99">
        <v>134.4</v>
      </c>
      <c r="P99">
        <v>119.1</v>
      </c>
      <c r="Q99">
        <v>132.30000000000001</v>
      </c>
      <c r="R99">
        <v>131.5</v>
      </c>
      <c r="S99">
        <v>134.69999999999999</v>
      </c>
      <c r="T99">
        <v>124</v>
      </c>
      <c r="U99">
        <v>118.6</v>
      </c>
      <c r="V99">
        <v>123.2</v>
      </c>
      <c r="W99">
        <v>121.6</v>
      </c>
      <c r="X99">
        <v>115.1</v>
      </c>
      <c r="Y99">
        <v>120.4</v>
      </c>
      <c r="Z99">
        <v>117.1</v>
      </c>
      <c r="AA99">
        <v>109.1</v>
      </c>
      <c r="AB99">
        <v>117.3</v>
      </c>
      <c r="AC99">
        <v>126.5</v>
      </c>
      <c r="AD99">
        <v>112.9</v>
      </c>
      <c r="AE99">
        <v>116.2</v>
      </c>
      <c r="AF99">
        <v>123.5</v>
      </c>
    </row>
    <row r="100" spans="1:32">
      <c r="A100" t="s">
        <v>35</v>
      </c>
      <c r="B100">
        <v>2015</v>
      </c>
      <c r="C100" t="s">
        <v>48</v>
      </c>
      <c r="D100">
        <v>9</v>
      </c>
      <c r="E100" s="1">
        <v>42248</v>
      </c>
      <c r="F100">
        <v>124.6</v>
      </c>
      <c r="G100">
        <v>130.4</v>
      </c>
      <c r="H100">
        <v>118.7</v>
      </c>
      <c r="I100">
        <v>128.9</v>
      </c>
      <c r="J100">
        <v>111.9</v>
      </c>
      <c r="K100">
        <v>128.4</v>
      </c>
      <c r="L100">
        <v>162.19999999999999</v>
      </c>
      <c r="M100">
        <v>150</v>
      </c>
      <c r="N100">
        <v>90.4</v>
      </c>
      <c r="O100">
        <v>128.4</v>
      </c>
      <c r="P100">
        <v>120.7</v>
      </c>
      <c r="Q100">
        <v>132.5</v>
      </c>
      <c r="R100">
        <v>131.19999999999999</v>
      </c>
      <c r="S100">
        <v>132</v>
      </c>
      <c r="T100">
        <v>127.9</v>
      </c>
      <c r="U100">
        <v>123.4</v>
      </c>
      <c r="V100">
        <v>127.2</v>
      </c>
      <c r="W100">
        <v>121.6</v>
      </c>
      <c r="X100">
        <v>120.4</v>
      </c>
      <c r="Y100">
        <v>122.6</v>
      </c>
      <c r="Z100">
        <v>119.8</v>
      </c>
      <c r="AA100">
        <v>111.3</v>
      </c>
      <c r="AB100">
        <v>118.3</v>
      </c>
      <c r="AC100">
        <v>125.7</v>
      </c>
      <c r="AD100">
        <v>113.4</v>
      </c>
      <c r="AE100">
        <v>117.5</v>
      </c>
      <c r="AF100">
        <v>125.4</v>
      </c>
    </row>
    <row r="101" spans="1:32">
      <c r="A101" t="s">
        <v>30</v>
      </c>
      <c r="B101">
        <v>2015</v>
      </c>
      <c r="C101" t="s">
        <v>50</v>
      </c>
      <c r="D101">
        <v>10</v>
      </c>
      <c r="E101" s="1">
        <v>42278</v>
      </c>
      <c r="F101">
        <v>125.6</v>
      </c>
      <c r="G101">
        <v>130.4</v>
      </c>
      <c r="H101">
        <v>120.8</v>
      </c>
      <c r="I101">
        <v>129.4</v>
      </c>
      <c r="J101">
        <v>115.8</v>
      </c>
      <c r="K101">
        <v>133.19999999999999</v>
      </c>
      <c r="L101">
        <v>157.69999999999999</v>
      </c>
      <c r="M101">
        <v>154.19999999999999</v>
      </c>
      <c r="N101">
        <v>93.7</v>
      </c>
      <c r="O101">
        <v>126.6</v>
      </c>
      <c r="P101">
        <v>122.3</v>
      </c>
      <c r="Q101">
        <v>133.1</v>
      </c>
      <c r="R101">
        <v>131.80000000000001</v>
      </c>
      <c r="S101">
        <v>131.5</v>
      </c>
      <c r="T101">
        <v>131.1</v>
      </c>
      <c r="U101">
        <v>127.3</v>
      </c>
      <c r="V101">
        <v>130.6</v>
      </c>
      <c r="X101">
        <v>124.4</v>
      </c>
      <c r="Y101">
        <v>125.1</v>
      </c>
      <c r="Z101">
        <v>122</v>
      </c>
      <c r="AA101">
        <v>113.8</v>
      </c>
      <c r="AB101">
        <v>120.1</v>
      </c>
      <c r="AC101">
        <v>125.1</v>
      </c>
      <c r="AD101">
        <v>114.2</v>
      </c>
      <c r="AE101">
        <v>119.2</v>
      </c>
      <c r="AF101">
        <v>127.7</v>
      </c>
    </row>
    <row r="102" spans="1:32">
      <c r="A102" t="s">
        <v>33</v>
      </c>
      <c r="B102">
        <v>2015</v>
      </c>
      <c r="C102" t="s">
        <v>50</v>
      </c>
      <c r="D102">
        <v>10</v>
      </c>
      <c r="E102" s="1">
        <v>42278</v>
      </c>
      <c r="F102">
        <v>123.6</v>
      </c>
      <c r="G102">
        <v>128.6</v>
      </c>
      <c r="H102">
        <v>115.9</v>
      </c>
      <c r="I102">
        <v>128.5</v>
      </c>
      <c r="J102">
        <v>109</v>
      </c>
      <c r="K102">
        <v>124.1</v>
      </c>
      <c r="L102">
        <v>165.8</v>
      </c>
      <c r="M102">
        <v>187.2</v>
      </c>
      <c r="N102">
        <v>89.4</v>
      </c>
      <c r="O102">
        <v>135.80000000000001</v>
      </c>
      <c r="P102">
        <v>119.4</v>
      </c>
      <c r="Q102">
        <v>132.9</v>
      </c>
      <c r="R102">
        <v>132.6</v>
      </c>
      <c r="S102">
        <v>135.30000000000001</v>
      </c>
      <c r="T102">
        <v>124.4</v>
      </c>
      <c r="U102">
        <v>118.8</v>
      </c>
      <c r="V102">
        <v>123.6</v>
      </c>
      <c r="W102">
        <v>122.4</v>
      </c>
      <c r="X102">
        <v>114.9</v>
      </c>
      <c r="Y102">
        <v>120.7</v>
      </c>
      <c r="Z102">
        <v>117.7</v>
      </c>
      <c r="AA102">
        <v>109.3</v>
      </c>
      <c r="AB102">
        <v>117.7</v>
      </c>
      <c r="AC102">
        <v>126.5</v>
      </c>
      <c r="AD102">
        <v>113.5</v>
      </c>
      <c r="AE102">
        <v>116.5</v>
      </c>
      <c r="AF102">
        <v>124.2</v>
      </c>
    </row>
    <row r="103" spans="1:32">
      <c r="A103" t="s">
        <v>35</v>
      </c>
      <c r="B103">
        <v>2015</v>
      </c>
      <c r="C103" t="s">
        <v>50</v>
      </c>
      <c r="D103">
        <v>10</v>
      </c>
      <c r="E103" s="1">
        <v>42278</v>
      </c>
      <c r="F103">
        <v>125</v>
      </c>
      <c r="G103">
        <v>129.80000000000001</v>
      </c>
      <c r="H103">
        <v>118.9</v>
      </c>
      <c r="I103">
        <v>129.1</v>
      </c>
      <c r="J103">
        <v>113.3</v>
      </c>
      <c r="K103">
        <v>129</v>
      </c>
      <c r="L103">
        <v>160.4</v>
      </c>
      <c r="M103">
        <v>165.3</v>
      </c>
      <c r="N103">
        <v>92.3</v>
      </c>
      <c r="O103">
        <v>129.69999999999999</v>
      </c>
      <c r="P103">
        <v>121.1</v>
      </c>
      <c r="Q103">
        <v>133</v>
      </c>
      <c r="R103">
        <v>132.1</v>
      </c>
      <c r="S103">
        <v>132.5</v>
      </c>
      <c r="T103">
        <v>128.5</v>
      </c>
      <c r="U103">
        <v>123.8</v>
      </c>
      <c r="V103">
        <v>127.8</v>
      </c>
      <c r="W103">
        <v>122.4</v>
      </c>
      <c r="X103">
        <v>120.8</v>
      </c>
      <c r="Y103">
        <v>123</v>
      </c>
      <c r="Z103">
        <v>120.4</v>
      </c>
      <c r="AA103">
        <v>111.4</v>
      </c>
      <c r="AB103">
        <v>118.7</v>
      </c>
      <c r="AC103">
        <v>125.9</v>
      </c>
      <c r="AD103">
        <v>113.9</v>
      </c>
      <c r="AE103">
        <v>117.9</v>
      </c>
      <c r="AF103">
        <v>126.1</v>
      </c>
    </row>
    <row r="104" spans="1:32">
      <c r="A104" t="s">
        <v>30</v>
      </c>
      <c r="B104">
        <v>2015</v>
      </c>
      <c r="C104" t="s">
        <v>53</v>
      </c>
      <c r="D104">
        <v>11</v>
      </c>
      <c r="E104" s="1">
        <v>42309</v>
      </c>
      <c r="F104">
        <v>126.1</v>
      </c>
      <c r="G104">
        <v>130.6</v>
      </c>
      <c r="H104">
        <v>121.7</v>
      </c>
      <c r="I104">
        <v>129.5</v>
      </c>
      <c r="J104">
        <v>117.8</v>
      </c>
      <c r="K104">
        <v>132.1</v>
      </c>
      <c r="L104">
        <v>155.19999999999999</v>
      </c>
      <c r="M104">
        <v>160.80000000000001</v>
      </c>
      <c r="N104">
        <v>94.5</v>
      </c>
      <c r="O104">
        <v>128.30000000000001</v>
      </c>
      <c r="P104">
        <v>123.1</v>
      </c>
      <c r="Q104">
        <v>134.19999999999999</v>
      </c>
      <c r="R104">
        <v>132.4</v>
      </c>
      <c r="S104">
        <v>132.19999999999999</v>
      </c>
      <c r="T104">
        <v>132.1</v>
      </c>
      <c r="U104">
        <v>128.19999999999999</v>
      </c>
      <c r="V104">
        <v>131.5</v>
      </c>
      <c r="X104">
        <v>125.6</v>
      </c>
      <c r="Y104">
        <v>125.6</v>
      </c>
      <c r="Z104">
        <v>122.6</v>
      </c>
      <c r="AA104">
        <v>114</v>
      </c>
      <c r="AB104">
        <v>120.9</v>
      </c>
      <c r="AC104">
        <v>125.8</v>
      </c>
      <c r="AD104">
        <v>114.2</v>
      </c>
      <c r="AE104">
        <v>119.6</v>
      </c>
      <c r="AF104">
        <v>128.30000000000001</v>
      </c>
    </row>
    <row r="105" spans="1:32">
      <c r="A105" t="s">
        <v>33</v>
      </c>
      <c r="B105">
        <v>2015</v>
      </c>
      <c r="C105" t="s">
        <v>53</v>
      </c>
      <c r="D105">
        <v>11</v>
      </c>
      <c r="E105" s="1">
        <v>42309</v>
      </c>
      <c r="F105">
        <v>124</v>
      </c>
      <c r="G105">
        <v>129.80000000000001</v>
      </c>
      <c r="H105">
        <v>121.5</v>
      </c>
      <c r="I105">
        <v>128.6</v>
      </c>
      <c r="J105">
        <v>110</v>
      </c>
      <c r="K105">
        <v>123.7</v>
      </c>
      <c r="L105">
        <v>164.6</v>
      </c>
      <c r="M105">
        <v>191.6</v>
      </c>
      <c r="N105">
        <v>90.8</v>
      </c>
      <c r="O105">
        <v>137.1</v>
      </c>
      <c r="P105">
        <v>119.8</v>
      </c>
      <c r="Q105">
        <v>133.69999999999999</v>
      </c>
      <c r="R105">
        <v>133.30000000000001</v>
      </c>
      <c r="S105">
        <v>137.6</v>
      </c>
      <c r="T105">
        <v>125</v>
      </c>
      <c r="U105">
        <v>119.3</v>
      </c>
      <c r="V105">
        <v>124.2</v>
      </c>
      <c r="W105">
        <v>122.9</v>
      </c>
      <c r="X105">
        <v>115.1</v>
      </c>
      <c r="Y105">
        <v>121</v>
      </c>
      <c r="Z105">
        <v>118.1</v>
      </c>
      <c r="AA105">
        <v>109.3</v>
      </c>
      <c r="AB105">
        <v>117.9</v>
      </c>
      <c r="AC105">
        <v>126.6</v>
      </c>
      <c r="AD105">
        <v>113.3</v>
      </c>
      <c r="AE105">
        <v>116.6</v>
      </c>
      <c r="AF105">
        <v>124.6</v>
      </c>
    </row>
    <row r="106" spans="1:32">
      <c r="A106" t="s">
        <v>35</v>
      </c>
      <c r="B106">
        <v>2015</v>
      </c>
      <c r="C106" t="s">
        <v>53</v>
      </c>
      <c r="D106">
        <v>11</v>
      </c>
      <c r="E106" s="1">
        <v>42309</v>
      </c>
      <c r="F106">
        <v>125.4</v>
      </c>
      <c r="G106">
        <v>130.30000000000001</v>
      </c>
      <c r="H106">
        <v>121.6</v>
      </c>
      <c r="I106">
        <v>129.19999999999999</v>
      </c>
      <c r="J106">
        <v>114.9</v>
      </c>
      <c r="K106">
        <v>128.19999999999999</v>
      </c>
      <c r="L106">
        <v>158.4</v>
      </c>
      <c r="M106">
        <v>171.2</v>
      </c>
      <c r="N106">
        <v>93.3</v>
      </c>
      <c r="O106">
        <v>131.19999999999999</v>
      </c>
      <c r="P106">
        <v>121.7</v>
      </c>
      <c r="Q106">
        <v>134</v>
      </c>
      <c r="R106">
        <v>132.69999999999999</v>
      </c>
      <c r="S106">
        <v>133.6</v>
      </c>
      <c r="T106">
        <v>129.30000000000001</v>
      </c>
      <c r="U106">
        <v>124.5</v>
      </c>
      <c r="V106">
        <v>128.6</v>
      </c>
      <c r="W106">
        <v>122.9</v>
      </c>
      <c r="X106">
        <v>121.6</v>
      </c>
      <c r="Y106">
        <v>123.4</v>
      </c>
      <c r="Z106">
        <v>120.9</v>
      </c>
      <c r="AA106">
        <v>111.5</v>
      </c>
      <c r="AB106">
        <v>119.2</v>
      </c>
      <c r="AC106">
        <v>126.3</v>
      </c>
      <c r="AD106">
        <v>113.8</v>
      </c>
      <c r="AE106">
        <v>118.1</v>
      </c>
      <c r="AF106">
        <v>126.6</v>
      </c>
    </row>
    <row r="107" spans="1:32">
      <c r="A107" t="s">
        <v>30</v>
      </c>
      <c r="B107">
        <v>2015</v>
      </c>
      <c r="C107" t="s">
        <v>55</v>
      </c>
      <c r="D107">
        <v>12</v>
      </c>
      <c r="E107" s="1">
        <v>42339</v>
      </c>
      <c r="F107">
        <v>126.3</v>
      </c>
      <c r="G107">
        <v>131.30000000000001</v>
      </c>
      <c r="H107">
        <v>123.3</v>
      </c>
      <c r="I107">
        <v>129.80000000000001</v>
      </c>
      <c r="J107">
        <v>118.3</v>
      </c>
      <c r="K107">
        <v>131.6</v>
      </c>
      <c r="L107">
        <v>145.5</v>
      </c>
      <c r="M107">
        <v>162.1</v>
      </c>
      <c r="N107">
        <v>95.4</v>
      </c>
      <c r="O107">
        <v>128.9</v>
      </c>
      <c r="P107">
        <v>123.3</v>
      </c>
      <c r="Q107">
        <v>135.1</v>
      </c>
      <c r="R107">
        <v>131.4</v>
      </c>
      <c r="S107">
        <v>133.1</v>
      </c>
      <c r="T107">
        <v>132.5</v>
      </c>
      <c r="U107">
        <v>128.5</v>
      </c>
      <c r="V107">
        <v>131.9</v>
      </c>
      <c r="X107">
        <v>125.7</v>
      </c>
      <c r="Y107">
        <v>126</v>
      </c>
      <c r="Z107">
        <v>123.1</v>
      </c>
      <c r="AA107">
        <v>114</v>
      </c>
      <c r="AB107">
        <v>121.6</v>
      </c>
      <c r="AC107">
        <v>125.6</v>
      </c>
      <c r="AD107">
        <v>114.1</v>
      </c>
      <c r="AE107">
        <v>119.8</v>
      </c>
      <c r="AF107">
        <v>127.9</v>
      </c>
    </row>
    <row r="108" spans="1:32">
      <c r="A108" t="s">
        <v>33</v>
      </c>
      <c r="B108">
        <v>2015</v>
      </c>
      <c r="C108" t="s">
        <v>55</v>
      </c>
      <c r="D108">
        <v>12</v>
      </c>
      <c r="E108" s="1">
        <v>42339</v>
      </c>
      <c r="F108">
        <v>124.3</v>
      </c>
      <c r="G108">
        <v>131.69999999999999</v>
      </c>
      <c r="H108">
        <v>127.1</v>
      </c>
      <c r="I108">
        <v>128.6</v>
      </c>
      <c r="J108">
        <v>110</v>
      </c>
      <c r="K108">
        <v>120.8</v>
      </c>
      <c r="L108">
        <v>149</v>
      </c>
      <c r="M108">
        <v>190.1</v>
      </c>
      <c r="N108">
        <v>92.7</v>
      </c>
      <c r="O108">
        <v>138.6</v>
      </c>
      <c r="P108">
        <v>120.2</v>
      </c>
      <c r="Q108">
        <v>134.19999999999999</v>
      </c>
      <c r="R108">
        <v>131.5</v>
      </c>
      <c r="S108">
        <v>138.19999999999999</v>
      </c>
      <c r="T108">
        <v>125.4</v>
      </c>
      <c r="U108">
        <v>119.5</v>
      </c>
      <c r="V108">
        <v>124.5</v>
      </c>
      <c r="W108">
        <v>122.4</v>
      </c>
      <c r="X108">
        <v>116</v>
      </c>
      <c r="Y108">
        <v>121</v>
      </c>
      <c r="Z108">
        <v>118.6</v>
      </c>
      <c r="AA108">
        <v>109.3</v>
      </c>
      <c r="AB108">
        <v>118.1</v>
      </c>
      <c r="AC108">
        <v>126.6</v>
      </c>
      <c r="AD108">
        <v>113.2</v>
      </c>
      <c r="AE108">
        <v>116.7</v>
      </c>
      <c r="AF108">
        <v>124</v>
      </c>
    </row>
    <row r="109" spans="1:32">
      <c r="A109" t="s">
        <v>35</v>
      </c>
      <c r="B109">
        <v>2015</v>
      </c>
      <c r="C109" t="s">
        <v>55</v>
      </c>
      <c r="D109">
        <v>12</v>
      </c>
      <c r="E109" s="1">
        <v>42339</v>
      </c>
      <c r="F109">
        <v>125.7</v>
      </c>
      <c r="G109">
        <v>131.4</v>
      </c>
      <c r="H109">
        <v>124.8</v>
      </c>
      <c r="I109">
        <v>129.4</v>
      </c>
      <c r="J109">
        <v>115.3</v>
      </c>
      <c r="K109">
        <v>126.6</v>
      </c>
      <c r="L109">
        <v>146.69999999999999</v>
      </c>
      <c r="M109">
        <v>171.5</v>
      </c>
      <c r="N109">
        <v>94.5</v>
      </c>
      <c r="O109">
        <v>132.1</v>
      </c>
      <c r="P109">
        <v>122</v>
      </c>
      <c r="Q109">
        <v>134.69999999999999</v>
      </c>
      <c r="R109">
        <v>131.4</v>
      </c>
      <c r="S109">
        <v>134.5</v>
      </c>
      <c r="T109">
        <v>129.69999999999999</v>
      </c>
      <c r="U109">
        <v>124.8</v>
      </c>
      <c r="V109">
        <v>129</v>
      </c>
      <c r="W109">
        <v>122.4</v>
      </c>
      <c r="X109">
        <v>122</v>
      </c>
      <c r="Y109">
        <v>123.6</v>
      </c>
      <c r="Z109">
        <v>121.4</v>
      </c>
      <c r="AA109">
        <v>111.5</v>
      </c>
      <c r="AB109">
        <v>119.6</v>
      </c>
      <c r="AC109">
        <v>126.2</v>
      </c>
      <c r="AD109">
        <v>113.7</v>
      </c>
      <c r="AE109">
        <v>118.3</v>
      </c>
      <c r="AF109">
        <v>126.1</v>
      </c>
    </row>
    <row r="110" spans="1:32">
      <c r="A110" t="s">
        <v>30</v>
      </c>
      <c r="B110">
        <v>2016</v>
      </c>
      <c r="C110" t="s">
        <v>31</v>
      </c>
      <c r="D110">
        <v>1</v>
      </c>
      <c r="E110" s="1">
        <v>42370</v>
      </c>
      <c r="F110">
        <v>126.8</v>
      </c>
      <c r="G110">
        <v>133.19999999999999</v>
      </c>
      <c r="H110">
        <v>126.5</v>
      </c>
      <c r="I110">
        <v>130.30000000000001</v>
      </c>
      <c r="J110">
        <v>118.9</v>
      </c>
      <c r="K110">
        <v>131.6</v>
      </c>
      <c r="L110">
        <v>140.1</v>
      </c>
      <c r="M110">
        <v>163.80000000000001</v>
      </c>
      <c r="N110">
        <v>97.7</v>
      </c>
      <c r="O110">
        <v>129.6</v>
      </c>
      <c r="P110">
        <v>124.3</v>
      </c>
      <c r="Q110">
        <v>135.9</v>
      </c>
      <c r="R110">
        <v>131.4</v>
      </c>
      <c r="S110">
        <v>133.6</v>
      </c>
      <c r="T110">
        <v>133.19999999999999</v>
      </c>
      <c r="U110">
        <v>128.9</v>
      </c>
      <c r="V110">
        <v>132.6</v>
      </c>
      <c r="X110">
        <v>126.2</v>
      </c>
      <c r="Y110">
        <v>126.6</v>
      </c>
      <c r="Z110">
        <v>123.7</v>
      </c>
      <c r="AA110">
        <v>113.6</v>
      </c>
      <c r="AB110">
        <v>121.4</v>
      </c>
      <c r="AC110">
        <v>126.2</v>
      </c>
      <c r="AD110">
        <v>114.9</v>
      </c>
      <c r="AE110">
        <v>120.1</v>
      </c>
      <c r="AF110">
        <v>128.1</v>
      </c>
    </row>
    <row r="111" spans="1:32">
      <c r="A111" t="s">
        <v>33</v>
      </c>
      <c r="B111">
        <v>2016</v>
      </c>
      <c r="C111" t="s">
        <v>31</v>
      </c>
      <c r="D111">
        <v>1</v>
      </c>
      <c r="E111" s="1">
        <v>42370</v>
      </c>
      <c r="F111">
        <v>124.7</v>
      </c>
      <c r="G111">
        <v>135.9</v>
      </c>
      <c r="H111">
        <v>132</v>
      </c>
      <c r="I111">
        <v>129.19999999999999</v>
      </c>
      <c r="J111">
        <v>109.7</v>
      </c>
      <c r="K111">
        <v>119</v>
      </c>
      <c r="L111">
        <v>144.1</v>
      </c>
      <c r="M111">
        <v>184.2</v>
      </c>
      <c r="N111">
        <v>96.7</v>
      </c>
      <c r="O111">
        <v>139.5</v>
      </c>
      <c r="P111">
        <v>120.5</v>
      </c>
      <c r="Q111">
        <v>134.69999999999999</v>
      </c>
      <c r="R111">
        <v>131.19999999999999</v>
      </c>
      <c r="S111">
        <v>139.5</v>
      </c>
      <c r="T111">
        <v>125.8</v>
      </c>
      <c r="U111">
        <v>119.8</v>
      </c>
      <c r="V111">
        <v>124.9</v>
      </c>
      <c r="W111">
        <v>123.4</v>
      </c>
      <c r="X111">
        <v>116.9</v>
      </c>
      <c r="Y111">
        <v>121.6</v>
      </c>
      <c r="Z111">
        <v>119.1</v>
      </c>
      <c r="AA111">
        <v>108.9</v>
      </c>
      <c r="AB111">
        <v>118.5</v>
      </c>
      <c r="AC111">
        <v>126.4</v>
      </c>
      <c r="AD111">
        <v>114</v>
      </c>
      <c r="AE111">
        <v>116.8</v>
      </c>
      <c r="AF111">
        <v>124.2</v>
      </c>
    </row>
    <row r="112" spans="1:32">
      <c r="A112" t="s">
        <v>35</v>
      </c>
      <c r="B112">
        <v>2016</v>
      </c>
      <c r="C112" t="s">
        <v>31</v>
      </c>
      <c r="D112">
        <v>1</v>
      </c>
      <c r="E112" s="1">
        <v>42370</v>
      </c>
      <c r="F112">
        <v>126.1</v>
      </c>
      <c r="G112">
        <v>134.1</v>
      </c>
      <c r="H112">
        <v>128.6</v>
      </c>
      <c r="I112">
        <v>129.9</v>
      </c>
      <c r="J112">
        <v>115.5</v>
      </c>
      <c r="K112">
        <v>125.7</v>
      </c>
      <c r="L112">
        <v>141.5</v>
      </c>
      <c r="M112">
        <v>170.7</v>
      </c>
      <c r="N112">
        <v>97.4</v>
      </c>
      <c r="O112">
        <v>132.9</v>
      </c>
      <c r="P112">
        <v>122.7</v>
      </c>
      <c r="Q112">
        <v>135.30000000000001</v>
      </c>
      <c r="R112">
        <v>131.30000000000001</v>
      </c>
      <c r="S112">
        <v>135.19999999999999</v>
      </c>
      <c r="T112">
        <v>130.30000000000001</v>
      </c>
      <c r="U112">
        <v>125.1</v>
      </c>
      <c r="V112">
        <v>129.5</v>
      </c>
      <c r="W112">
        <v>123.4</v>
      </c>
      <c r="X112">
        <v>122.7</v>
      </c>
      <c r="Y112">
        <v>124.2</v>
      </c>
      <c r="Z112">
        <v>122</v>
      </c>
      <c r="AA112">
        <v>111.1</v>
      </c>
      <c r="AB112">
        <v>119.8</v>
      </c>
      <c r="AC112">
        <v>126.3</v>
      </c>
      <c r="AD112">
        <v>114.5</v>
      </c>
      <c r="AE112">
        <v>118.5</v>
      </c>
      <c r="AF112">
        <v>126.3</v>
      </c>
    </row>
    <row r="113" spans="1:32">
      <c r="A113" t="s">
        <v>30</v>
      </c>
      <c r="B113">
        <v>2016</v>
      </c>
      <c r="C113" t="s">
        <v>36</v>
      </c>
      <c r="D113">
        <v>2</v>
      </c>
      <c r="E113" s="1">
        <v>42401</v>
      </c>
      <c r="F113">
        <v>127.1</v>
      </c>
      <c r="G113">
        <v>133.69999999999999</v>
      </c>
      <c r="H113">
        <v>127.7</v>
      </c>
      <c r="I113">
        <v>130.69999999999999</v>
      </c>
      <c r="J113">
        <v>118.5</v>
      </c>
      <c r="K113">
        <v>130.4</v>
      </c>
      <c r="L113">
        <v>130.9</v>
      </c>
      <c r="M113">
        <v>162.80000000000001</v>
      </c>
      <c r="N113">
        <v>98.7</v>
      </c>
      <c r="O113">
        <v>130.6</v>
      </c>
      <c r="P113">
        <v>124.8</v>
      </c>
      <c r="Q113">
        <v>136.4</v>
      </c>
      <c r="R113">
        <v>130.30000000000001</v>
      </c>
      <c r="S113">
        <v>134.4</v>
      </c>
      <c r="T113">
        <v>133.9</v>
      </c>
      <c r="U113">
        <v>129.80000000000001</v>
      </c>
      <c r="V113">
        <v>133.4</v>
      </c>
      <c r="X113">
        <v>127.5</v>
      </c>
      <c r="Y113">
        <v>127.1</v>
      </c>
      <c r="Z113">
        <v>124.3</v>
      </c>
      <c r="AA113">
        <v>113.9</v>
      </c>
      <c r="AB113">
        <v>122.3</v>
      </c>
      <c r="AC113">
        <v>127.1</v>
      </c>
      <c r="AD113">
        <v>116.8</v>
      </c>
      <c r="AE113">
        <v>120.9</v>
      </c>
      <c r="AF113">
        <v>127.9</v>
      </c>
    </row>
    <row r="114" spans="1:32">
      <c r="A114" t="s">
        <v>33</v>
      </c>
      <c r="B114">
        <v>2016</v>
      </c>
      <c r="C114" t="s">
        <v>36</v>
      </c>
      <c r="D114">
        <v>2</v>
      </c>
      <c r="E114" s="1">
        <v>42401</v>
      </c>
      <c r="F114">
        <v>124.8</v>
      </c>
      <c r="G114">
        <v>135.1</v>
      </c>
      <c r="H114">
        <v>130.30000000000001</v>
      </c>
      <c r="I114">
        <v>129.6</v>
      </c>
      <c r="J114">
        <v>108.4</v>
      </c>
      <c r="K114">
        <v>118.6</v>
      </c>
      <c r="L114">
        <v>129.19999999999999</v>
      </c>
      <c r="M114">
        <v>176.4</v>
      </c>
      <c r="N114">
        <v>99.1</v>
      </c>
      <c r="O114">
        <v>139.69999999999999</v>
      </c>
      <c r="P114">
        <v>120.6</v>
      </c>
      <c r="Q114">
        <v>135.19999999999999</v>
      </c>
      <c r="R114">
        <v>129.1</v>
      </c>
      <c r="S114">
        <v>140</v>
      </c>
      <c r="T114">
        <v>126.2</v>
      </c>
      <c r="U114">
        <v>120.1</v>
      </c>
      <c r="V114">
        <v>125.3</v>
      </c>
      <c r="W114">
        <v>124.4</v>
      </c>
      <c r="X114">
        <v>116</v>
      </c>
      <c r="Y114">
        <v>121.8</v>
      </c>
      <c r="Z114">
        <v>119.5</v>
      </c>
      <c r="AA114">
        <v>109.1</v>
      </c>
      <c r="AB114">
        <v>118.8</v>
      </c>
      <c r="AC114">
        <v>126.3</v>
      </c>
      <c r="AD114">
        <v>116.2</v>
      </c>
      <c r="AE114">
        <v>117.2</v>
      </c>
      <c r="AF114">
        <v>123.8</v>
      </c>
    </row>
    <row r="115" spans="1:32">
      <c r="A115" t="s">
        <v>35</v>
      </c>
      <c r="B115">
        <v>2016</v>
      </c>
      <c r="C115" t="s">
        <v>36</v>
      </c>
      <c r="D115">
        <v>2</v>
      </c>
      <c r="E115" s="1">
        <v>42401</v>
      </c>
      <c r="F115">
        <v>126.4</v>
      </c>
      <c r="G115">
        <v>134.19999999999999</v>
      </c>
      <c r="H115">
        <v>128.69999999999999</v>
      </c>
      <c r="I115">
        <v>130.30000000000001</v>
      </c>
      <c r="J115">
        <v>114.8</v>
      </c>
      <c r="K115">
        <v>124.9</v>
      </c>
      <c r="L115">
        <v>130.30000000000001</v>
      </c>
      <c r="M115">
        <v>167.4</v>
      </c>
      <c r="N115">
        <v>98.8</v>
      </c>
      <c r="O115">
        <v>133.6</v>
      </c>
      <c r="P115">
        <v>123</v>
      </c>
      <c r="Q115">
        <v>135.80000000000001</v>
      </c>
      <c r="R115">
        <v>129.9</v>
      </c>
      <c r="S115">
        <v>135.9</v>
      </c>
      <c r="T115">
        <v>130.9</v>
      </c>
      <c r="U115">
        <v>125.8</v>
      </c>
      <c r="V115">
        <v>130.19999999999999</v>
      </c>
      <c r="W115">
        <v>124.4</v>
      </c>
      <c r="X115">
        <v>123.1</v>
      </c>
      <c r="Y115">
        <v>124.6</v>
      </c>
      <c r="Z115">
        <v>122.5</v>
      </c>
      <c r="AA115">
        <v>111.4</v>
      </c>
      <c r="AB115">
        <v>120.3</v>
      </c>
      <c r="AC115">
        <v>126.6</v>
      </c>
      <c r="AD115">
        <v>116.6</v>
      </c>
      <c r="AE115">
        <v>119.1</v>
      </c>
      <c r="AF115">
        <v>126</v>
      </c>
    </row>
    <row r="116" spans="1:32">
      <c r="A116" t="s">
        <v>30</v>
      </c>
      <c r="B116">
        <v>2016</v>
      </c>
      <c r="C116" t="s">
        <v>38</v>
      </c>
      <c r="D116">
        <v>3</v>
      </c>
      <c r="E116" s="1">
        <v>42430</v>
      </c>
      <c r="F116">
        <v>127.3</v>
      </c>
      <c r="G116">
        <v>134.4</v>
      </c>
      <c r="H116">
        <v>125.1</v>
      </c>
      <c r="I116">
        <v>130.5</v>
      </c>
      <c r="J116">
        <v>118.3</v>
      </c>
      <c r="K116">
        <v>131.69999999999999</v>
      </c>
      <c r="L116">
        <v>130.69999999999999</v>
      </c>
      <c r="M116">
        <v>161.19999999999999</v>
      </c>
      <c r="N116">
        <v>100.4</v>
      </c>
      <c r="O116">
        <v>130.80000000000001</v>
      </c>
      <c r="P116">
        <v>124.9</v>
      </c>
      <c r="Q116">
        <v>137</v>
      </c>
      <c r="R116">
        <v>130.4</v>
      </c>
      <c r="S116">
        <v>135</v>
      </c>
      <c r="T116">
        <v>134.4</v>
      </c>
      <c r="U116">
        <v>130.19999999999999</v>
      </c>
      <c r="V116">
        <v>133.80000000000001</v>
      </c>
      <c r="X116">
        <v>127</v>
      </c>
      <c r="Y116">
        <v>127.7</v>
      </c>
      <c r="Z116">
        <v>124.8</v>
      </c>
      <c r="AA116">
        <v>113.6</v>
      </c>
      <c r="AB116">
        <v>122.5</v>
      </c>
      <c r="AC116">
        <v>127.5</v>
      </c>
      <c r="AD116">
        <v>117.4</v>
      </c>
      <c r="AE116">
        <v>121.1</v>
      </c>
      <c r="AF116">
        <v>128</v>
      </c>
    </row>
    <row r="117" spans="1:32">
      <c r="A117" t="s">
        <v>33</v>
      </c>
      <c r="B117">
        <v>2016</v>
      </c>
      <c r="C117" t="s">
        <v>38</v>
      </c>
      <c r="D117">
        <v>3</v>
      </c>
      <c r="E117" s="1">
        <v>42430</v>
      </c>
      <c r="F117">
        <v>124.8</v>
      </c>
      <c r="G117">
        <v>136.30000000000001</v>
      </c>
      <c r="H117">
        <v>123.7</v>
      </c>
      <c r="I117">
        <v>129.69999999999999</v>
      </c>
      <c r="J117">
        <v>107.9</v>
      </c>
      <c r="K117">
        <v>119.9</v>
      </c>
      <c r="L117">
        <v>128.1</v>
      </c>
      <c r="M117">
        <v>170.3</v>
      </c>
      <c r="N117">
        <v>101.8</v>
      </c>
      <c r="O117">
        <v>140.1</v>
      </c>
      <c r="P117">
        <v>120.7</v>
      </c>
      <c r="Q117">
        <v>135.4</v>
      </c>
      <c r="R117">
        <v>128.9</v>
      </c>
      <c r="S117">
        <v>140.6</v>
      </c>
      <c r="T117">
        <v>126.4</v>
      </c>
      <c r="U117">
        <v>120.3</v>
      </c>
      <c r="V117">
        <v>125.5</v>
      </c>
      <c r="W117">
        <v>124.9</v>
      </c>
      <c r="X117">
        <v>114.8</v>
      </c>
      <c r="Y117">
        <v>122.3</v>
      </c>
      <c r="Z117">
        <v>119.7</v>
      </c>
      <c r="AA117">
        <v>108.5</v>
      </c>
      <c r="AB117">
        <v>119.1</v>
      </c>
      <c r="AC117">
        <v>126.4</v>
      </c>
      <c r="AD117">
        <v>117.1</v>
      </c>
      <c r="AE117">
        <v>117.3</v>
      </c>
      <c r="AF117">
        <v>123.8</v>
      </c>
    </row>
    <row r="118" spans="1:32">
      <c r="A118" t="s">
        <v>35</v>
      </c>
      <c r="B118">
        <v>2016</v>
      </c>
      <c r="C118" t="s">
        <v>38</v>
      </c>
      <c r="D118">
        <v>3</v>
      </c>
      <c r="E118" s="1">
        <v>42430</v>
      </c>
      <c r="F118">
        <v>126.5</v>
      </c>
      <c r="G118">
        <v>135.1</v>
      </c>
      <c r="H118">
        <v>124.6</v>
      </c>
      <c r="I118">
        <v>130.19999999999999</v>
      </c>
      <c r="J118">
        <v>114.5</v>
      </c>
      <c r="K118">
        <v>126.2</v>
      </c>
      <c r="L118">
        <v>129.80000000000001</v>
      </c>
      <c r="M118">
        <v>164.3</v>
      </c>
      <c r="N118">
        <v>100.9</v>
      </c>
      <c r="O118">
        <v>133.9</v>
      </c>
      <c r="P118">
        <v>123.1</v>
      </c>
      <c r="Q118">
        <v>136.30000000000001</v>
      </c>
      <c r="R118">
        <v>129.80000000000001</v>
      </c>
      <c r="S118">
        <v>136.5</v>
      </c>
      <c r="T118">
        <v>131.30000000000001</v>
      </c>
      <c r="U118">
        <v>126.1</v>
      </c>
      <c r="V118">
        <v>130.5</v>
      </c>
      <c r="W118">
        <v>124.9</v>
      </c>
      <c r="X118">
        <v>122.4</v>
      </c>
      <c r="Y118">
        <v>125.1</v>
      </c>
      <c r="Z118">
        <v>122.9</v>
      </c>
      <c r="AA118">
        <v>110.9</v>
      </c>
      <c r="AB118">
        <v>120.6</v>
      </c>
      <c r="AC118">
        <v>126.9</v>
      </c>
      <c r="AD118">
        <v>117.3</v>
      </c>
      <c r="AE118">
        <v>119.3</v>
      </c>
      <c r="AF118">
        <v>126</v>
      </c>
    </row>
    <row r="119" spans="1:32">
      <c r="A119" t="s">
        <v>30</v>
      </c>
      <c r="B119">
        <v>2016</v>
      </c>
      <c r="C119" t="s">
        <v>39</v>
      </c>
      <c r="D119">
        <v>4</v>
      </c>
      <c r="E119" s="1">
        <v>42461</v>
      </c>
      <c r="F119">
        <v>127.4</v>
      </c>
      <c r="G119">
        <v>135.4</v>
      </c>
      <c r="H119">
        <v>123.4</v>
      </c>
      <c r="I119">
        <v>131.30000000000001</v>
      </c>
      <c r="J119">
        <v>118.2</v>
      </c>
      <c r="K119">
        <v>138.1</v>
      </c>
      <c r="L119">
        <v>134.1</v>
      </c>
      <c r="M119">
        <v>162.69999999999999</v>
      </c>
      <c r="N119">
        <v>105</v>
      </c>
      <c r="O119">
        <v>131.4</v>
      </c>
      <c r="P119">
        <v>125.4</v>
      </c>
      <c r="Q119">
        <v>137.4</v>
      </c>
      <c r="R119">
        <v>131.80000000000001</v>
      </c>
      <c r="S119">
        <v>135.5</v>
      </c>
      <c r="T119">
        <v>135</v>
      </c>
      <c r="U119">
        <v>130.6</v>
      </c>
      <c r="V119">
        <v>134.4</v>
      </c>
      <c r="X119">
        <v>127</v>
      </c>
      <c r="Y119">
        <v>128</v>
      </c>
      <c r="Z119">
        <v>125.2</v>
      </c>
      <c r="AA119">
        <v>114.4</v>
      </c>
      <c r="AB119">
        <v>123.2</v>
      </c>
      <c r="AC119">
        <v>127.9</v>
      </c>
      <c r="AD119">
        <v>118.4</v>
      </c>
      <c r="AE119">
        <v>121.7</v>
      </c>
      <c r="AF119">
        <v>129</v>
      </c>
    </row>
    <row r="120" spans="1:32">
      <c r="A120" t="s">
        <v>33</v>
      </c>
      <c r="B120">
        <v>2016</v>
      </c>
      <c r="C120" t="s">
        <v>39</v>
      </c>
      <c r="D120">
        <v>4</v>
      </c>
      <c r="E120" s="1">
        <v>42461</v>
      </c>
      <c r="F120">
        <v>124.9</v>
      </c>
      <c r="G120">
        <v>139.30000000000001</v>
      </c>
      <c r="H120">
        <v>119.9</v>
      </c>
      <c r="I120">
        <v>130.19999999999999</v>
      </c>
      <c r="J120">
        <v>108.9</v>
      </c>
      <c r="K120">
        <v>131.1</v>
      </c>
      <c r="L120">
        <v>136.80000000000001</v>
      </c>
      <c r="M120">
        <v>176.9</v>
      </c>
      <c r="N120">
        <v>109.1</v>
      </c>
      <c r="O120">
        <v>140.4</v>
      </c>
      <c r="P120">
        <v>121.1</v>
      </c>
      <c r="Q120">
        <v>135.9</v>
      </c>
      <c r="R120">
        <v>131.80000000000001</v>
      </c>
      <c r="S120">
        <v>141.5</v>
      </c>
      <c r="T120">
        <v>126.8</v>
      </c>
      <c r="U120">
        <v>120.5</v>
      </c>
      <c r="V120">
        <v>125.8</v>
      </c>
      <c r="W120">
        <v>125.6</v>
      </c>
      <c r="X120">
        <v>114.6</v>
      </c>
      <c r="Y120">
        <v>122.8</v>
      </c>
      <c r="Z120">
        <v>120</v>
      </c>
      <c r="AA120">
        <v>110</v>
      </c>
      <c r="AB120">
        <v>119.5</v>
      </c>
      <c r="AC120">
        <v>127.6</v>
      </c>
      <c r="AD120">
        <v>117.6</v>
      </c>
      <c r="AE120">
        <v>118.2</v>
      </c>
      <c r="AF120">
        <v>125.3</v>
      </c>
    </row>
    <row r="121" spans="1:32">
      <c r="A121" t="s">
        <v>35</v>
      </c>
      <c r="B121">
        <v>2016</v>
      </c>
      <c r="C121" t="s">
        <v>39</v>
      </c>
      <c r="D121">
        <v>4</v>
      </c>
      <c r="E121" s="1">
        <v>42461</v>
      </c>
      <c r="F121">
        <v>126.6</v>
      </c>
      <c r="G121">
        <v>136.80000000000001</v>
      </c>
      <c r="H121">
        <v>122</v>
      </c>
      <c r="I121">
        <v>130.9</v>
      </c>
      <c r="J121">
        <v>114.8</v>
      </c>
      <c r="K121">
        <v>134.80000000000001</v>
      </c>
      <c r="L121">
        <v>135</v>
      </c>
      <c r="M121">
        <v>167.5</v>
      </c>
      <c r="N121">
        <v>106.4</v>
      </c>
      <c r="O121">
        <v>134.4</v>
      </c>
      <c r="P121">
        <v>123.6</v>
      </c>
      <c r="Q121">
        <v>136.69999999999999</v>
      </c>
      <c r="R121">
        <v>131.80000000000001</v>
      </c>
      <c r="S121">
        <v>137.1</v>
      </c>
      <c r="T121">
        <v>131.80000000000001</v>
      </c>
      <c r="U121">
        <v>126.4</v>
      </c>
      <c r="V121">
        <v>131</v>
      </c>
      <c r="W121">
        <v>125.6</v>
      </c>
      <c r="X121">
        <v>122.3</v>
      </c>
      <c r="Y121">
        <v>125.5</v>
      </c>
      <c r="Z121">
        <v>123.2</v>
      </c>
      <c r="AA121">
        <v>112.1</v>
      </c>
      <c r="AB121">
        <v>121.1</v>
      </c>
      <c r="AC121">
        <v>127.7</v>
      </c>
      <c r="AD121">
        <v>118.1</v>
      </c>
      <c r="AE121">
        <v>120</v>
      </c>
      <c r="AF121">
        <v>127.3</v>
      </c>
    </row>
    <row r="122" spans="1:32">
      <c r="A122" t="s">
        <v>30</v>
      </c>
      <c r="B122">
        <v>2016</v>
      </c>
      <c r="C122" t="s">
        <v>41</v>
      </c>
      <c r="D122">
        <v>5</v>
      </c>
      <c r="E122" s="1">
        <v>42491</v>
      </c>
      <c r="F122">
        <v>127.6</v>
      </c>
      <c r="G122">
        <v>137.5</v>
      </c>
      <c r="H122">
        <v>124.4</v>
      </c>
      <c r="I122">
        <v>132.4</v>
      </c>
      <c r="J122">
        <v>118.2</v>
      </c>
      <c r="K122">
        <v>138.1</v>
      </c>
      <c r="L122">
        <v>141.80000000000001</v>
      </c>
      <c r="M122">
        <v>166</v>
      </c>
      <c r="N122">
        <v>107.5</v>
      </c>
      <c r="O122">
        <v>132.19999999999999</v>
      </c>
      <c r="P122">
        <v>126.1</v>
      </c>
      <c r="Q122">
        <v>138.30000000000001</v>
      </c>
      <c r="R122">
        <v>133.6</v>
      </c>
      <c r="S122">
        <v>136</v>
      </c>
      <c r="T122">
        <v>135.4</v>
      </c>
      <c r="U122">
        <v>131.1</v>
      </c>
      <c r="V122">
        <v>134.80000000000001</v>
      </c>
      <c r="X122">
        <v>127.4</v>
      </c>
      <c r="Y122">
        <v>128.5</v>
      </c>
      <c r="Z122">
        <v>125.8</v>
      </c>
      <c r="AA122">
        <v>115.1</v>
      </c>
      <c r="AB122">
        <v>123.6</v>
      </c>
      <c r="AC122">
        <v>129.1</v>
      </c>
      <c r="AD122">
        <v>119.7</v>
      </c>
      <c r="AE122">
        <v>122.5</v>
      </c>
      <c r="AF122">
        <v>130.30000000000001</v>
      </c>
    </row>
    <row r="123" spans="1:32">
      <c r="A123" t="s">
        <v>33</v>
      </c>
      <c r="B123">
        <v>2016</v>
      </c>
      <c r="C123" t="s">
        <v>41</v>
      </c>
      <c r="D123">
        <v>5</v>
      </c>
      <c r="E123" s="1">
        <v>42491</v>
      </c>
      <c r="F123">
        <v>125</v>
      </c>
      <c r="G123">
        <v>142.1</v>
      </c>
      <c r="H123">
        <v>127</v>
      </c>
      <c r="I123">
        <v>130.4</v>
      </c>
      <c r="J123">
        <v>109.6</v>
      </c>
      <c r="K123">
        <v>133.5</v>
      </c>
      <c r="L123">
        <v>151.4</v>
      </c>
      <c r="M123">
        <v>182.8</v>
      </c>
      <c r="N123">
        <v>111.1</v>
      </c>
      <c r="O123">
        <v>141.5</v>
      </c>
      <c r="P123">
        <v>121.5</v>
      </c>
      <c r="Q123">
        <v>136.30000000000001</v>
      </c>
      <c r="R123">
        <v>134.6</v>
      </c>
      <c r="S123">
        <v>142.19999999999999</v>
      </c>
      <c r="T123">
        <v>127.2</v>
      </c>
      <c r="U123">
        <v>120.7</v>
      </c>
      <c r="V123">
        <v>126.2</v>
      </c>
      <c r="W123">
        <v>126</v>
      </c>
      <c r="X123">
        <v>115</v>
      </c>
      <c r="Y123">
        <v>123.2</v>
      </c>
      <c r="Z123">
        <v>120.3</v>
      </c>
      <c r="AA123">
        <v>110.7</v>
      </c>
      <c r="AB123">
        <v>119.8</v>
      </c>
      <c r="AC123">
        <v>128</v>
      </c>
      <c r="AD123">
        <v>118.5</v>
      </c>
      <c r="AE123">
        <v>118.7</v>
      </c>
      <c r="AF123">
        <v>126.6</v>
      </c>
    </row>
    <row r="124" spans="1:32">
      <c r="A124" t="s">
        <v>35</v>
      </c>
      <c r="B124">
        <v>2016</v>
      </c>
      <c r="C124" t="s">
        <v>41</v>
      </c>
      <c r="D124">
        <v>5</v>
      </c>
      <c r="E124" s="1">
        <v>42491</v>
      </c>
      <c r="F124">
        <v>126.8</v>
      </c>
      <c r="G124">
        <v>139.1</v>
      </c>
      <c r="H124">
        <v>125.4</v>
      </c>
      <c r="I124">
        <v>131.69999999999999</v>
      </c>
      <c r="J124">
        <v>115</v>
      </c>
      <c r="K124">
        <v>136</v>
      </c>
      <c r="L124">
        <v>145.1</v>
      </c>
      <c r="M124">
        <v>171.7</v>
      </c>
      <c r="N124">
        <v>108.7</v>
      </c>
      <c r="O124">
        <v>135.30000000000001</v>
      </c>
      <c r="P124">
        <v>124.2</v>
      </c>
      <c r="Q124">
        <v>137.4</v>
      </c>
      <c r="R124">
        <v>134</v>
      </c>
      <c r="S124">
        <v>137.69999999999999</v>
      </c>
      <c r="T124">
        <v>132.19999999999999</v>
      </c>
      <c r="U124">
        <v>126.8</v>
      </c>
      <c r="V124">
        <v>131.4</v>
      </c>
      <c r="W124">
        <v>126</v>
      </c>
      <c r="X124">
        <v>122.7</v>
      </c>
      <c r="Y124">
        <v>126</v>
      </c>
      <c r="Z124">
        <v>123.7</v>
      </c>
      <c r="AA124">
        <v>112.8</v>
      </c>
      <c r="AB124">
        <v>121.5</v>
      </c>
      <c r="AC124">
        <v>128.5</v>
      </c>
      <c r="AD124">
        <v>119.2</v>
      </c>
      <c r="AE124">
        <v>120.7</v>
      </c>
      <c r="AF124">
        <v>128.6</v>
      </c>
    </row>
    <row r="125" spans="1:32">
      <c r="A125" t="s">
        <v>30</v>
      </c>
      <c r="B125">
        <v>2016</v>
      </c>
      <c r="C125" t="s">
        <v>42</v>
      </c>
      <c r="D125">
        <v>6</v>
      </c>
      <c r="E125" s="1">
        <v>42522</v>
      </c>
      <c r="F125">
        <v>128.6</v>
      </c>
      <c r="G125">
        <v>138.6</v>
      </c>
      <c r="H125">
        <v>126.6</v>
      </c>
      <c r="I125">
        <v>133.6</v>
      </c>
      <c r="J125">
        <v>118.6</v>
      </c>
      <c r="K125">
        <v>137.4</v>
      </c>
      <c r="L125">
        <v>152.5</v>
      </c>
      <c r="M125">
        <v>169.2</v>
      </c>
      <c r="N125">
        <v>108.8</v>
      </c>
      <c r="O125">
        <v>133.1</v>
      </c>
      <c r="P125">
        <v>126.4</v>
      </c>
      <c r="Q125">
        <v>139.19999999999999</v>
      </c>
      <c r="R125">
        <v>136</v>
      </c>
      <c r="S125">
        <v>137.19999999999999</v>
      </c>
      <c r="T125">
        <v>136.30000000000001</v>
      </c>
      <c r="U125">
        <v>131.6</v>
      </c>
      <c r="V125">
        <v>135.6</v>
      </c>
      <c r="X125">
        <v>128</v>
      </c>
      <c r="Y125">
        <v>129.30000000000001</v>
      </c>
      <c r="Z125">
        <v>126.2</v>
      </c>
      <c r="AA125">
        <v>116.3</v>
      </c>
      <c r="AB125">
        <v>124.1</v>
      </c>
      <c r="AC125">
        <v>130.19999999999999</v>
      </c>
      <c r="AD125">
        <v>119.9</v>
      </c>
      <c r="AE125">
        <v>123.3</v>
      </c>
      <c r="AF125">
        <v>131.9</v>
      </c>
    </row>
    <row r="126" spans="1:32">
      <c r="A126" t="s">
        <v>33</v>
      </c>
      <c r="B126">
        <v>2016</v>
      </c>
      <c r="C126" t="s">
        <v>42</v>
      </c>
      <c r="D126">
        <v>6</v>
      </c>
      <c r="E126" s="1">
        <v>42522</v>
      </c>
      <c r="F126">
        <v>125.9</v>
      </c>
      <c r="G126">
        <v>143.9</v>
      </c>
      <c r="H126">
        <v>130.9</v>
      </c>
      <c r="I126">
        <v>131</v>
      </c>
      <c r="J126">
        <v>110.2</v>
      </c>
      <c r="K126">
        <v>135.5</v>
      </c>
      <c r="L126">
        <v>173.7</v>
      </c>
      <c r="M126">
        <v>184.4</v>
      </c>
      <c r="N126">
        <v>112</v>
      </c>
      <c r="O126">
        <v>142.80000000000001</v>
      </c>
      <c r="P126">
        <v>121.6</v>
      </c>
      <c r="Q126">
        <v>136.9</v>
      </c>
      <c r="R126">
        <v>138.19999999999999</v>
      </c>
      <c r="S126">
        <v>142.69999999999999</v>
      </c>
      <c r="T126">
        <v>127.6</v>
      </c>
      <c r="U126">
        <v>121.1</v>
      </c>
      <c r="V126">
        <v>126.6</v>
      </c>
      <c r="W126">
        <v>125.5</v>
      </c>
      <c r="X126">
        <v>115.5</v>
      </c>
      <c r="Y126">
        <v>123.2</v>
      </c>
      <c r="Z126">
        <v>120.6</v>
      </c>
      <c r="AA126">
        <v>112.3</v>
      </c>
      <c r="AB126">
        <v>119.9</v>
      </c>
      <c r="AC126">
        <v>129.30000000000001</v>
      </c>
      <c r="AD126">
        <v>118.8</v>
      </c>
      <c r="AE126">
        <v>119.6</v>
      </c>
      <c r="AF126">
        <v>128.1</v>
      </c>
    </row>
    <row r="127" spans="1:32">
      <c r="A127" t="s">
        <v>35</v>
      </c>
      <c r="B127">
        <v>2016</v>
      </c>
      <c r="C127" t="s">
        <v>42</v>
      </c>
      <c r="D127">
        <v>6</v>
      </c>
      <c r="E127" s="1">
        <v>42522</v>
      </c>
      <c r="F127">
        <v>127.7</v>
      </c>
      <c r="G127">
        <v>140.5</v>
      </c>
      <c r="H127">
        <v>128.30000000000001</v>
      </c>
      <c r="I127">
        <v>132.6</v>
      </c>
      <c r="J127">
        <v>115.5</v>
      </c>
      <c r="K127">
        <v>136.5</v>
      </c>
      <c r="L127">
        <v>159.69999999999999</v>
      </c>
      <c r="M127">
        <v>174.3</v>
      </c>
      <c r="N127">
        <v>109.9</v>
      </c>
      <c r="O127">
        <v>136.30000000000001</v>
      </c>
      <c r="P127">
        <v>124.4</v>
      </c>
      <c r="Q127">
        <v>138.1</v>
      </c>
      <c r="R127">
        <v>136.80000000000001</v>
      </c>
      <c r="S127">
        <v>138.69999999999999</v>
      </c>
      <c r="T127">
        <v>132.9</v>
      </c>
      <c r="U127">
        <v>127.2</v>
      </c>
      <c r="V127">
        <v>132</v>
      </c>
      <c r="W127">
        <v>125.5</v>
      </c>
      <c r="X127">
        <v>123.3</v>
      </c>
      <c r="Y127">
        <v>126.4</v>
      </c>
      <c r="Z127">
        <v>124.1</v>
      </c>
      <c r="AA127">
        <v>114.2</v>
      </c>
      <c r="AB127">
        <v>121.7</v>
      </c>
      <c r="AC127">
        <v>129.69999999999999</v>
      </c>
      <c r="AD127">
        <v>119.4</v>
      </c>
      <c r="AE127">
        <v>121.5</v>
      </c>
      <c r="AF127">
        <v>130.1</v>
      </c>
    </row>
    <row r="128" spans="1:32">
      <c r="A128" t="s">
        <v>30</v>
      </c>
      <c r="B128">
        <v>2016</v>
      </c>
      <c r="C128" t="s">
        <v>44</v>
      </c>
      <c r="D128">
        <v>7</v>
      </c>
      <c r="E128" s="1">
        <v>42552</v>
      </c>
      <c r="F128">
        <v>129.30000000000001</v>
      </c>
      <c r="G128">
        <v>139.5</v>
      </c>
      <c r="H128">
        <v>129.6</v>
      </c>
      <c r="I128">
        <v>134.5</v>
      </c>
      <c r="J128">
        <v>119.5</v>
      </c>
      <c r="K128">
        <v>138.5</v>
      </c>
      <c r="L128">
        <v>158.19999999999999</v>
      </c>
      <c r="M128">
        <v>171.8</v>
      </c>
      <c r="N128">
        <v>110.3</v>
      </c>
      <c r="O128">
        <v>134.30000000000001</v>
      </c>
      <c r="P128">
        <v>127.3</v>
      </c>
      <c r="Q128">
        <v>139.9</v>
      </c>
      <c r="R128">
        <v>137.6</v>
      </c>
      <c r="S128">
        <v>138</v>
      </c>
      <c r="T128">
        <v>137.19999999999999</v>
      </c>
      <c r="U128">
        <v>132.19999999999999</v>
      </c>
      <c r="V128">
        <v>136.5</v>
      </c>
      <c r="X128">
        <v>128.19999999999999</v>
      </c>
      <c r="Y128">
        <v>130</v>
      </c>
      <c r="Z128">
        <v>126.7</v>
      </c>
      <c r="AA128">
        <v>116.4</v>
      </c>
      <c r="AB128">
        <v>125.2</v>
      </c>
      <c r="AC128">
        <v>130.80000000000001</v>
      </c>
      <c r="AD128">
        <v>120.9</v>
      </c>
      <c r="AE128">
        <v>123.8</v>
      </c>
      <c r="AF128">
        <v>133</v>
      </c>
    </row>
    <row r="129" spans="1:32">
      <c r="A129" t="s">
        <v>33</v>
      </c>
      <c r="B129">
        <v>2016</v>
      </c>
      <c r="C129" t="s">
        <v>44</v>
      </c>
      <c r="D129">
        <v>7</v>
      </c>
      <c r="E129" s="1">
        <v>42552</v>
      </c>
      <c r="F129">
        <v>126.8</v>
      </c>
      <c r="G129">
        <v>144.19999999999999</v>
      </c>
      <c r="H129">
        <v>136.6</v>
      </c>
      <c r="I129">
        <v>131.80000000000001</v>
      </c>
      <c r="J129">
        <v>111</v>
      </c>
      <c r="K129">
        <v>137</v>
      </c>
      <c r="L129">
        <v>179.5</v>
      </c>
      <c r="M129">
        <v>188.4</v>
      </c>
      <c r="N129">
        <v>113.3</v>
      </c>
      <c r="O129">
        <v>143.9</v>
      </c>
      <c r="P129">
        <v>121.7</v>
      </c>
      <c r="Q129">
        <v>137.5</v>
      </c>
      <c r="R129">
        <v>139.80000000000001</v>
      </c>
      <c r="S129">
        <v>142.9</v>
      </c>
      <c r="T129">
        <v>127.9</v>
      </c>
      <c r="U129">
        <v>121.1</v>
      </c>
      <c r="V129">
        <v>126.9</v>
      </c>
      <c r="W129">
        <v>126.4</v>
      </c>
      <c r="X129">
        <v>115.5</v>
      </c>
      <c r="Y129">
        <v>123.5</v>
      </c>
      <c r="Z129">
        <v>120.9</v>
      </c>
      <c r="AA129">
        <v>111.7</v>
      </c>
      <c r="AB129">
        <v>120.3</v>
      </c>
      <c r="AC129">
        <v>130.80000000000001</v>
      </c>
      <c r="AD129">
        <v>120</v>
      </c>
      <c r="AE129">
        <v>119.9</v>
      </c>
      <c r="AF129">
        <v>129</v>
      </c>
    </row>
    <row r="130" spans="1:32">
      <c r="A130" t="s">
        <v>35</v>
      </c>
      <c r="B130">
        <v>2016</v>
      </c>
      <c r="C130" t="s">
        <v>44</v>
      </c>
      <c r="D130">
        <v>7</v>
      </c>
      <c r="E130" s="1">
        <v>42552</v>
      </c>
      <c r="F130">
        <v>128.5</v>
      </c>
      <c r="G130">
        <v>141.19999999999999</v>
      </c>
      <c r="H130">
        <v>132.30000000000001</v>
      </c>
      <c r="I130">
        <v>133.5</v>
      </c>
      <c r="J130">
        <v>116.4</v>
      </c>
      <c r="K130">
        <v>137.80000000000001</v>
      </c>
      <c r="L130">
        <v>165.4</v>
      </c>
      <c r="M130">
        <v>177.4</v>
      </c>
      <c r="N130">
        <v>111.3</v>
      </c>
      <c r="O130">
        <v>137.5</v>
      </c>
      <c r="P130">
        <v>125</v>
      </c>
      <c r="Q130">
        <v>138.80000000000001</v>
      </c>
      <c r="R130">
        <v>138.4</v>
      </c>
      <c r="S130">
        <v>139.30000000000001</v>
      </c>
      <c r="T130">
        <v>133.5</v>
      </c>
      <c r="U130">
        <v>127.6</v>
      </c>
      <c r="V130">
        <v>132.69999999999999</v>
      </c>
      <c r="W130">
        <v>126.4</v>
      </c>
      <c r="X130">
        <v>123.4</v>
      </c>
      <c r="Y130">
        <v>126.9</v>
      </c>
      <c r="Z130">
        <v>124.5</v>
      </c>
      <c r="AA130">
        <v>113.9</v>
      </c>
      <c r="AB130">
        <v>122.4</v>
      </c>
      <c r="AC130">
        <v>130.80000000000001</v>
      </c>
      <c r="AD130">
        <v>120.5</v>
      </c>
      <c r="AE130">
        <v>121.9</v>
      </c>
      <c r="AF130">
        <v>131.1</v>
      </c>
    </row>
    <row r="131" spans="1:32">
      <c r="A131" t="s">
        <v>30</v>
      </c>
      <c r="B131">
        <v>2016</v>
      </c>
      <c r="C131" t="s">
        <v>46</v>
      </c>
      <c r="D131">
        <v>8</v>
      </c>
      <c r="E131" s="1">
        <v>42583</v>
      </c>
      <c r="F131">
        <v>130.1</v>
      </c>
      <c r="G131">
        <v>138.80000000000001</v>
      </c>
      <c r="H131">
        <v>130.30000000000001</v>
      </c>
      <c r="I131">
        <v>135.30000000000001</v>
      </c>
      <c r="J131">
        <v>119.9</v>
      </c>
      <c r="K131">
        <v>140.19999999999999</v>
      </c>
      <c r="L131">
        <v>156.9</v>
      </c>
      <c r="M131">
        <v>172.2</v>
      </c>
      <c r="N131">
        <v>112.1</v>
      </c>
      <c r="O131">
        <v>134.9</v>
      </c>
      <c r="P131">
        <v>128.1</v>
      </c>
      <c r="Q131">
        <v>140.69999999999999</v>
      </c>
      <c r="R131">
        <v>138</v>
      </c>
      <c r="S131">
        <v>138.9</v>
      </c>
      <c r="T131">
        <v>137.80000000000001</v>
      </c>
      <c r="U131">
        <v>133</v>
      </c>
      <c r="V131">
        <v>137.1</v>
      </c>
      <c r="X131">
        <v>129.1</v>
      </c>
      <c r="Y131">
        <v>130.6</v>
      </c>
      <c r="Z131">
        <v>127</v>
      </c>
      <c r="AA131">
        <v>116</v>
      </c>
      <c r="AB131">
        <v>125.5</v>
      </c>
      <c r="AC131">
        <v>131.9</v>
      </c>
      <c r="AD131">
        <v>122</v>
      </c>
      <c r="AE131">
        <v>124.2</v>
      </c>
      <c r="AF131">
        <v>133.5</v>
      </c>
    </row>
    <row r="132" spans="1:32">
      <c r="A132" t="s">
        <v>33</v>
      </c>
      <c r="B132">
        <v>2016</v>
      </c>
      <c r="C132" t="s">
        <v>46</v>
      </c>
      <c r="D132">
        <v>8</v>
      </c>
      <c r="E132" s="1">
        <v>42583</v>
      </c>
      <c r="F132">
        <v>127.6</v>
      </c>
      <c r="G132">
        <v>140.30000000000001</v>
      </c>
      <c r="H132">
        <v>133.69999999999999</v>
      </c>
      <c r="I132">
        <v>132.19999999999999</v>
      </c>
      <c r="J132">
        <v>111.8</v>
      </c>
      <c r="K132">
        <v>135.80000000000001</v>
      </c>
      <c r="L132">
        <v>163.5</v>
      </c>
      <c r="M132">
        <v>182.3</v>
      </c>
      <c r="N132">
        <v>114.6</v>
      </c>
      <c r="O132">
        <v>144.6</v>
      </c>
      <c r="P132">
        <v>121.9</v>
      </c>
      <c r="Q132">
        <v>138.1</v>
      </c>
      <c r="R132">
        <v>137.6</v>
      </c>
      <c r="S132">
        <v>143.6</v>
      </c>
      <c r="T132">
        <v>128.30000000000001</v>
      </c>
      <c r="U132">
        <v>121.4</v>
      </c>
      <c r="V132">
        <v>127.3</v>
      </c>
      <c r="W132">
        <v>127.3</v>
      </c>
      <c r="X132">
        <v>114.7</v>
      </c>
      <c r="Y132">
        <v>123.9</v>
      </c>
      <c r="Z132">
        <v>121.2</v>
      </c>
      <c r="AA132">
        <v>110.4</v>
      </c>
      <c r="AB132">
        <v>120.6</v>
      </c>
      <c r="AC132">
        <v>131.5</v>
      </c>
      <c r="AD132">
        <v>120.9</v>
      </c>
      <c r="AE132">
        <v>119.9</v>
      </c>
      <c r="AF132">
        <v>128.4</v>
      </c>
    </row>
    <row r="133" spans="1:32">
      <c r="A133" t="s">
        <v>35</v>
      </c>
      <c r="B133">
        <v>2016</v>
      </c>
      <c r="C133" t="s">
        <v>46</v>
      </c>
      <c r="D133">
        <v>8</v>
      </c>
      <c r="E133" s="1">
        <v>42583</v>
      </c>
      <c r="F133">
        <v>129.30000000000001</v>
      </c>
      <c r="G133">
        <v>139.30000000000001</v>
      </c>
      <c r="H133">
        <v>131.6</v>
      </c>
      <c r="I133">
        <v>134.1</v>
      </c>
      <c r="J133">
        <v>116.9</v>
      </c>
      <c r="K133">
        <v>138.1</v>
      </c>
      <c r="L133">
        <v>159.1</v>
      </c>
      <c r="M133">
        <v>175.6</v>
      </c>
      <c r="N133">
        <v>112.9</v>
      </c>
      <c r="O133">
        <v>138.1</v>
      </c>
      <c r="P133">
        <v>125.5</v>
      </c>
      <c r="Q133">
        <v>139.5</v>
      </c>
      <c r="R133">
        <v>137.9</v>
      </c>
      <c r="S133">
        <v>140.19999999999999</v>
      </c>
      <c r="T133">
        <v>134.1</v>
      </c>
      <c r="U133">
        <v>128.19999999999999</v>
      </c>
      <c r="V133">
        <v>133.19999999999999</v>
      </c>
      <c r="W133">
        <v>127.3</v>
      </c>
      <c r="X133">
        <v>123.6</v>
      </c>
      <c r="Y133">
        <v>127.4</v>
      </c>
      <c r="Z133">
        <v>124.8</v>
      </c>
      <c r="AA133">
        <v>113.1</v>
      </c>
      <c r="AB133">
        <v>122.7</v>
      </c>
      <c r="AC133">
        <v>131.69999999999999</v>
      </c>
      <c r="AD133">
        <v>121.5</v>
      </c>
      <c r="AE133">
        <v>122.1</v>
      </c>
      <c r="AF133">
        <v>131.1</v>
      </c>
    </row>
    <row r="134" spans="1:32">
      <c r="A134" t="s">
        <v>30</v>
      </c>
      <c r="B134">
        <v>2016</v>
      </c>
      <c r="C134" t="s">
        <v>48</v>
      </c>
      <c r="D134">
        <v>9</v>
      </c>
      <c r="E134" s="1">
        <v>42614</v>
      </c>
      <c r="F134">
        <v>130.80000000000001</v>
      </c>
      <c r="G134">
        <v>138.19999999999999</v>
      </c>
      <c r="H134">
        <v>130.5</v>
      </c>
      <c r="I134">
        <v>135.5</v>
      </c>
      <c r="J134">
        <v>120.2</v>
      </c>
      <c r="K134">
        <v>139.19999999999999</v>
      </c>
      <c r="L134">
        <v>149.5</v>
      </c>
      <c r="M134">
        <v>170.4</v>
      </c>
      <c r="N134">
        <v>113.1</v>
      </c>
      <c r="O134">
        <v>135.80000000000001</v>
      </c>
      <c r="P134">
        <v>128.80000000000001</v>
      </c>
      <c r="Q134">
        <v>141.5</v>
      </c>
      <c r="R134">
        <v>137.19999999999999</v>
      </c>
      <c r="S134">
        <v>139.9</v>
      </c>
      <c r="T134">
        <v>138.5</v>
      </c>
      <c r="U134">
        <v>133.5</v>
      </c>
      <c r="V134">
        <v>137.80000000000001</v>
      </c>
      <c r="X134">
        <v>129.69999999999999</v>
      </c>
      <c r="Y134">
        <v>131.1</v>
      </c>
      <c r="Z134">
        <v>127.8</v>
      </c>
      <c r="AA134">
        <v>117</v>
      </c>
      <c r="AB134">
        <v>125.7</v>
      </c>
      <c r="AC134">
        <v>132.19999999999999</v>
      </c>
      <c r="AD134">
        <v>122.8</v>
      </c>
      <c r="AE134">
        <v>124.9</v>
      </c>
      <c r="AF134">
        <v>133.4</v>
      </c>
    </row>
    <row r="135" spans="1:32">
      <c r="A135" t="s">
        <v>33</v>
      </c>
      <c r="B135">
        <v>2016</v>
      </c>
      <c r="C135" t="s">
        <v>48</v>
      </c>
      <c r="D135">
        <v>9</v>
      </c>
      <c r="E135" s="1">
        <v>42614</v>
      </c>
      <c r="F135">
        <v>128.1</v>
      </c>
      <c r="G135">
        <v>137.69999999999999</v>
      </c>
      <c r="H135">
        <v>130.6</v>
      </c>
      <c r="I135">
        <v>132.6</v>
      </c>
      <c r="J135">
        <v>111.9</v>
      </c>
      <c r="K135">
        <v>132.5</v>
      </c>
      <c r="L135">
        <v>152.9</v>
      </c>
      <c r="M135">
        <v>173.6</v>
      </c>
      <c r="N135">
        <v>115.1</v>
      </c>
      <c r="O135">
        <v>144.80000000000001</v>
      </c>
      <c r="P135">
        <v>122.1</v>
      </c>
      <c r="Q135">
        <v>138.80000000000001</v>
      </c>
      <c r="R135">
        <v>135.69999999999999</v>
      </c>
      <c r="S135">
        <v>143.9</v>
      </c>
      <c r="T135">
        <v>128.69999999999999</v>
      </c>
      <c r="U135">
        <v>121.6</v>
      </c>
      <c r="V135">
        <v>127.7</v>
      </c>
      <c r="W135">
        <v>127.9</v>
      </c>
      <c r="X135">
        <v>114.8</v>
      </c>
      <c r="Y135">
        <v>124.3</v>
      </c>
      <c r="Z135">
        <v>121.4</v>
      </c>
      <c r="AA135">
        <v>111.8</v>
      </c>
      <c r="AB135">
        <v>120.8</v>
      </c>
      <c r="AC135">
        <v>131.6</v>
      </c>
      <c r="AD135">
        <v>121.2</v>
      </c>
      <c r="AE135">
        <v>120.5</v>
      </c>
      <c r="AF135">
        <v>128</v>
      </c>
    </row>
    <row r="136" spans="1:32">
      <c r="A136" t="s">
        <v>35</v>
      </c>
      <c r="B136">
        <v>2016</v>
      </c>
      <c r="C136" t="s">
        <v>48</v>
      </c>
      <c r="D136">
        <v>9</v>
      </c>
      <c r="E136" s="1">
        <v>42614</v>
      </c>
      <c r="F136">
        <v>129.9</v>
      </c>
      <c r="G136">
        <v>138</v>
      </c>
      <c r="H136">
        <v>130.5</v>
      </c>
      <c r="I136">
        <v>134.4</v>
      </c>
      <c r="J136">
        <v>117.2</v>
      </c>
      <c r="K136">
        <v>136.1</v>
      </c>
      <c r="L136">
        <v>150.69999999999999</v>
      </c>
      <c r="M136">
        <v>171.5</v>
      </c>
      <c r="N136">
        <v>113.8</v>
      </c>
      <c r="O136">
        <v>138.80000000000001</v>
      </c>
      <c r="P136">
        <v>126</v>
      </c>
      <c r="Q136">
        <v>140.19999999999999</v>
      </c>
      <c r="R136">
        <v>136.6</v>
      </c>
      <c r="S136">
        <v>141</v>
      </c>
      <c r="T136">
        <v>134.6</v>
      </c>
      <c r="U136">
        <v>128.6</v>
      </c>
      <c r="V136">
        <v>133.80000000000001</v>
      </c>
      <c r="W136">
        <v>127.9</v>
      </c>
      <c r="X136">
        <v>124.1</v>
      </c>
      <c r="Y136">
        <v>127.9</v>
      </c>
      <c r="Z136">
        <v>125.4</v>
      </c>
      <c r="AA136">
        <v>114.3</v>
      </c>
      <c r="AB136">
        <v>122.9</v>
      </c>
      <c r="AC136">
        <v>131.80000000000001</v>
      </c>
      <c r="AD136">
        <v>122.1</v>
      </c>
      <c r="AE136">
        <v>122.8</v>
      </c>
      <c r="AF136">
        <v>130.9</v>
      </c>
    </row>
    <row r="137" spans="1:32">
      <c r="A137" t="s">
        <v>30</v>
      </c>
      <c r="B137">
        <v>2016</v>
      </c>
      <c r="C137" t="s">
        <v>50</v>
      </c>
      <c r="D137">
        <v>10</v>
      </c>
      <c r="E137" s="1">
        <v>42644</v>
      </c>
      <c r="F137">
        <v>131.30000000000001</v>
      </c>
      <c r="G137">
        <v>137.6</v>
      </c>
      <c r="H137">
        <v>130.1</v>
      </c>
      <c r="I137">
        <v>136</v>
      </c>
      <c r="J137">
        <v>120.8</v>
      </c>
      <c r="K137">
        <v>138.4</v>
      </c>
      <c r="L137">
        <v>149.19999999999999</v>
      </c>
      <c r="M137">
        <v>170.2</v>
      </c>
      <c r="N137">
        <v>113.4</v>
      </c>
      <c r="O137">
        <v>136.30000000000001</v>
      </c>
      <c r="P137">
        <v>128.69999999999999</v>
      </c>
      <c r="Q137">
        <v>142.4</v>
      </c>
      <c r="R137">
        <v>137.4</v>
      </c>
      <c r="S137">
        <v>140.9</v>
      </c>
      <c r="T137">
        <v>139.6</v>
      </c>
      <c r="U137">
        <v>134.30000000000001</v>
      </c>
      <c r="V137">
        <v>138.80000000000001</v>
      </c>
      <c r="X137">
        <v>129.80000000000001</v>
      </c>
      <c r="Y137">
        <v>131.80000000000001</v>
      </c>
      <c r="Z137">
        <v>128.69999999999999</v>
      </c>
      <c r="AA137">
        <v>117.8</v>
      </c>
      <c r="AB137">
        <v>126.5</v>
      </c>
      <c r="AC137">
        <v>133</v>
      </c>
      <c r="AD137">
        <v>123</v>
      </c>
      <c r="AE137">
        <v>125.7</v>
      </c>
      <c r="AF137">
        <v>133.80000000000001</v>
      </c>
    </row>
    <row r="138" spans="1:32">
      <c r="A138" t="s">
        <v>33</v>
      </c>
      <c r="B138">
        <v>2016</v>
      </c>
      <c r="C138" t="s">
        <v>50</v>
      </c>
      <c r="D138">
        <v>10</v>
      </c>
      <c r="E138" s="1">
        <v>42644</v>
      </c>
      <c r="F138">
        <v>128.69999999999999</v>
      </c>
      <c r="G138">
        <v>138.4</v>
      </c>
      <c r="H138">
        <v>130.30000000000001</v>
      </c>
      <c r="I138">
        <v>132.69999999999999</v>
      </c>
      <c r="J138">
        <v>112.5</v>
      </c>
      <c r="K138">
        <v>130.4</v>
      </c>
      <c r="L138">
        <v>155.1</v>
      </c>
      <c r="M138">
        <v>175.7</v>
      </c>
      <c r="N138">
        <v>115.4</v>
      </c>
      <c r="O138">
        <v>145.30000000000001</v>
      </c>
      <c r="P138">
        <v>122.5</v>
      </c>
      <c r="Q138">
        <v>139.6</v>
      </c>
      <c r="R138">
        <v>136.30000000000001</v>
      </c>
      <c r="S138">
        <v>144.30000000000001</v>
      </c>
      <c r="T138">
        <v>129.1</v>
      </c>
      <c r="U138">
        <v>121.9</v>
      </c>
      <c r="V138">
        <v>128</v>
      </c>
      <c r="W138">
        <v>128.69999999999999</v>
      </c>
      <c r="X138">
        <v>115.2</v>
      </c>
      <c r="Y138">
        <v>124.5</v>
      </c>
      <c r="Z138">
        <v>121.8</v>
      </c>
      <c r="AA138">
        <v>112.8</v>
      </c>
      <c r="AB138">
        <v>121.2</v>
      </c>
      <c r="AC138">
        <v>131.9</v>
      </c>
      <c r="AD138">
        <v>120.8</v>
      </c>
      <c r="AE138">
        <v>120.9</v>
      </c>
      <c r="AF138">
        <v>128.6</v>
      </c>
    </row>
    <row r="139" spans="1:32">
      <c r="A139" t="s">
        <v>35</v>
      </c>
      <c r="B139">
        <v>2016</v>
      </c>
      <c r="C139" t="s">
        <v>50</v>
      </c>
      <c r="D139">
        <v>10</v>
      </c>
      <c r="E139" s="1">
        <v>42644</v>
      </c>
      <c r="F139">
        <v>130.5</v>
      </c>
      <c r="G139">
        <v>137.9</v>
      </c>
      <c r="H139">
        <v>130.19999999999999</v>
      </c>
      <c r="I139">
        <v>134.80000000000001</v>
      </c>
      <c r="J139">
        <v>117.8</v>
      </c>
      <c r="K139">
        <v>134.69999999999999</v>
      </c>
      <c r="L139">
        <v>151.19999999999999</v>
      </c>
      <c r="M139">
        <v>172.1</v>
      </c>
      <c r="N139">
        <v>114.1</v>
      </c>
      <c r="O139">
        <v>139.30000000000001</v>
      </c>
      <c r="P139">
        <v>126.1</v>
      </c>
      <c r="Q139">
        <v>141.1</v>
      </c>
      <c r="R139">
        <v>137</v>
      </c>
      <c r="S139">
        <v>141.80000000000001</v>
      </c>
      <c r="T139">
        <v>135.5</v>
      </c>
      <c r="U139">
        <v>129.1</v>
      </c>
      <c r="V139">
        <v>134.5</v>
      </c>
      <c r="W139">
        <v>128.69999999999999</v>
      </c>
      <c r="X139">
        <v>124.3</v>
      </c>
      <c r="Y139">
        <v>128.4</v>
      </c>
      <c r="Z139">
        <v>126.1</v>
      </c>
      <c r="AA139">
        <v>115.2</v>
      </c>
      <c r="AB139">
        <v>123.5</v>
      </c>
      <c r="AC139">
        <v>132.4</v>
      </c>
      <c r="AD139">
        <v>122.1</v>
      </c>
      <c r="AE139">
        <v>123.4</v>
      </c>
      <c r="AF139">
        <v>131.4</v>
      </c>
    </row>
    <row r="140" spans="1:32">
      <c r="A140" t="s">
        <v>30</v>
      </c>
      <c r="B140">
        <v>2016</v>
      </c>
      <c r="C140" t="s">
        <v>53</v>
      </c>
      <c r="D140">
        <v>11</v>
      </c>
      <c r="E140" s="1">
        <v>42675</v>
      </c>
      <c r="F140">
        <v>132</v>
      </c>
      <c r="G140">
        <v>137.4</v>
      </c>
      <c r="H140">
        <v>130.6</v>
      </c>
      <c r="I140">
        <v>136.19999999999999</v>
      </c>
      <c r="J140">
        <v>121.1</v>
      </c>
      <c r="K140">
        <v>136.9</v>
      </c>
      <c r="L140">
        <v>141.80000000000001</v>
      </c>
      <c r="M140">
        <v>170</v>
      </c>
      <c r="N140">
        <v>113.4</v>
      </c>
      <c r="O140">
        <v>136.80000000000001</v>
      </c>
      <c r="P140">
        <v>128.69999999999999</v>
      </c>
      <c r="Q140">
        <v>143.1</v>
      </c>
      <c r="R140">
        <v>136.6</v>
      </c>
      <c r="S140">
        <v>141.19999999999999</v>
      </c>
      <c r="T140">
        <v>139.9</v>
      </c>
      <c r="U140">
        <v>134.5</v>
      </c>
      <c r="V140">
        <v>139.19999999999999</v>
      </c>
      <c r="X140">
        <v>130.30000000000001</v>
      </c>
      <c r="Y140">
        <v>132.1</v>
      </c>
      <c r="Z140">
        <v>129.1</v>
      </c>
      <c r="AA140">
        <v>118.2</v>
      </c>
      <c r="AB140">
        <v>126.9</v>
      </c>
      <c r="AC140">
        <v>133.69999999999999</v>
      </c>
      <c r="AD140">
        <v>123.5</v>
      </c>
      <c r="AE140">
        <v>126.1</v>
      </c>
      <c r="AF140">
        <v>133.6</v>
      </c>
    </row>
    <row r="141" spans="1:32">
      <c r="A141" t="s">
        <v>33</v>
      </c>
      <c r="B141">
        <v>2016</v>
      </c>
      <c r="C141" t="s">
        <v>53</v>
      </c>
      <c r="D141">
        <v>11</v>
      </c>
      <c r="E141" s="1">
        <v>42675</v>
      </c>
      <c r="F141">
        <v>130.19999999999999</v>
      </c>
      <c r="G141">
        <v>138.5</v>
      </c>
      <c r="H141">
        <v>134.1</v>
      </c>
      <c r="I141">
        <v>132.9</v>
      </c>
      <c r="J141">
        <v>112.6</v>
      </c>
      <c r="K141">
        <v>130.80000000000001</v>
      </c>
      <c r="L141">
        <v>142</v>
      </c>
      <c r="M141">
        <v>174.9</v>
      </c>
      <c r="N141">
        <v>115.6</v>
      </c>
      <c r="O141">
        <v>145.4</v>
      </c>
      <c r="P141">
        <v>122.7</v>
      </c>
      <c r="Q141">
        <v>140.30000000000001</v>
      </c>
      <c r="R141">
        <v>135.19999999999999</v>
      </c>
      <c r="S141">
        <v>144.30000000000001</v>
      </c>
      <c r="T141">
        <v>129.6</v>
      </c>
      <c r="U141">
        <v>122.1</v>
      </c>
      <c r="V141">
        <v>128.5</v>
      </c>
      <c r="W141">
        <v>129.1</v>
      </c>
      <c r="X141">
        <v>116.2</v>
      </c>
      <c r="Y141">
        <v>124.7</v>
      </c>
      <c r="Z141">
        <v>122.1</v>
      </c>
      <c r="AA141">
        <v>113.4</v>
      </c>
      <c r="AB141">
        <v>121.7</v>
      </c>
      <c r="AC141">
        <v>132.1</v>
      </c>
      <c r="AD141">
        <v>121.3</v>
      </c>
      <c r="AE141">
        <v>121.3</v>
      </c>
      <c r="AF141">
        <v>128.5</v>
      </c>
    </row>
    <row r="142" spans="1:32">
      <c r="A142" t="s">
        <v>35</v>
      </c>
      <c r="B142">
        <v>2016</v>
      </c>
      <c r="C142" t="s">
        <v>53</v>
      </c>
      <c r="D142">
        <v>11</v>
      </c>
      <c r="E142" s="1">
        <v>42675</v>
      </c>
      <c r="F142">
        <v>131.4</v>
      </c>
      <c r="G142">
        <v>137.80000000000001</v>
      </c>
      <c r="H142">
        <v>132</v>
      </c>
      <c r="I142">
        <v>135</v>
      </c>
      <c r="J142">
        <v>118</v>
      </c>
      <c r="K142">
        <v>134.1</v>
      </c>
      <c r="L142">
        <v>141.9</v>
      </c>
      <c r="M142">
        <v>171.7</v>
      </c>
      <c r="N142">
        <v>114.1</v>
      </c>
      <c r="O142">
        <v>139.69999999999999</v>
      </c>
      <c r="P142">
        <v>126.2</v>
      </c>
      <c r="Q142">
        <v>141.80000000000001</v>
      </c>
      <c r="R142">
        <v>136.1</v>
      </c>
      <c r="S142">
        <v>142</v>
      </c>
      <c r="T142">
        <v>135.80000000000001</v>
      </c>
      <c r="U142">
        <v>129.30000000000001</v>
      </c>
      <c r="V142">
        <v>135</v>
      </c>
      <c r="W142">
        <v>129.1</v>
      </c>
      <c r="X142">
        <v>125</v>
      </c>
      <c r="Y142">
        <v>128.6</v>
      </c>
      <c r="Z142">
        <v>126.4</v>
      </c>
      <c r="AA142">
        <v>115.7</v>
      </c>
      <c r="AB142">
        <v>124</v>
      </c>
      <c r="AC142">
        <v>132.80000000000001</v>
      </c>
      <c r="AD142">
        <v>122.6</v>
      </c>
      <c r="AE142">
        <v>123.8</v>
      </c>
      <c r="AF142">
        <v>131.19999999999999</v>
      </c>
    </row>
    <row r="143" spans="1:32">
      <c r="A143" t="s">
        <v>30</v>
      </c>
      <c r="B143">
        <v>2016</v>
      </c>
      <c r="C143" t="s">
        <v>55</v>
      </c>
      <c r="D143">
        <v>12</v>
      </c>
      <c r="E143" s="1">
        <v>42705</v>
      </c>
      <c r="F143">
        <v>132.6</v>
      </c>
      <c r="G143">
        <v>137.30000000000001</v>
      </c>
      <c r="H143">
        <v>131.6</v>
      </c>
      <c r="I143">
        <v>136.30000000000001</v>
      </c>
      <c r="J143">
        <v>121.6</v>
      </c>
      <c r="K143">
        <v>135.6</v>
      </c>
      <c r="L143">
        <v>127.5</v>
      </c>
      <c r="M143">
        <v>167.9</v>
      </c>
      <c r="N143">
        <v>113.8</v>
      </c>
      <c r="O143">
        <v>137.5</v>
      </c>
      <c r="P143">
        <v>129.1</v>
      </c>
      <c r="Q143">
        <v>143.6</v>
      </c>
      <c r="R143">
        <v>134.69999999999999</v>
      </c>
      <c r="S143">
        <v>142.4</v>
      </c>
      <c r="T143">
        <v>140.4</v>
      </c>
      <c r="U143">
        <v>135.19999999999999</v>
      </c>
      <c r="V143">
        <v>139.69999999999999</v>
      </c>
      <c r="X143">
        <v>132</v>
      </c>
      <c r="Y143">
        <v>132.9</v>
      </c>
      <c r="Z143">
        <v>129.69999999999999</v>
      </c>
      <c r="AA143">
        <v>118.6</v>
      </c>
      <c r="AB143">
        <v>127.3</v>
      </c>
      <c r="AC143">
        <v>134.19999999999999</v>
      </c>
      <c r="AD143">
        <v>121.9</v>
      </c>
      <c r="AE143">
        <v>126.3</v>
      </c>
      <c r="AF143">
        <v>132.80000000000001</v>
      </c>
    </row>
    <row r="144" spans="1:32">
      <c r="A144" t="s">
        <v>33</v>
      </c>
      <c r="B144">
        <v>2016</v>
      </c>
      <c r="C144" t="s">
        <v>55</v>
      </c>
      <c r="D144">
        <v>12</v>
      </c>
      <c r="E144" s="1">
        <v>42705</v>
      </c>
      <c r="F144">
        <v>131.6</v>
      </c>
      <c r="G144">
        <v>138.19999999999999</v>
      </c>
      <c r="H144">
        <v>134.9</v>
      </c>
      <c r="I144">
        <v>133.1</v>
      </c>
      <c r="J144">
        <v>113.5</v>
      </c>
      <c r="K144">
        <v>129.30000000000001</v>
      </c>
      <c r="L144">
        <v>121.1</v>
      </c>
      <c r="M144">
        <v>170.3</v>
      </c>
      <c r="N144">
        <v>115.5</v>
      </c>
      <c r="O144">
        <v>145.5</v>
      </c>
      <c r="P144">
        <v>123.1</v>
      </c>
      <c r="Q144">
        <v>140.9</v>
      </c>
      <c r="R144">
        <v>132.80000000000001</v>
      </c>
      <c r="S144">
        <v>145</v>
      </c>
      <c r="T144">
        <v>130</v>
      </c>
      <c r="U144">
        <v>122.2</v>
      </c>
      <c r="V144">
        <v>128.80000000000001</v>
      </c>
      <c r="W144">
        <v>128.5</v>
      </c>
      <c r="X144">
        <v>117.8</v>
      </c>
      <c r="Y144">
        <v>125</v>
      </c>
      <c r="Z144">
        <v>122.3</v>
      </c>
      <c r="AA144">
        <v>113.7</v>
      </c>
      <c r="AB144">
        <v>121.8</v>
      </c>
      <c r="AC144">
        <v>132.30000000000001</v>
      </c>
      <c r="AD144">
        <v>119.9</v>
      </c>
      <c r="AE144">
        <v>121.4</v>
      </c>
      <c r="AF144">
        <v>127.6</v>
      </c>
    </row>
    <row r="145" spans="1:32">
      <c r="A145" t="s">
        <v>35</v>
      </c>
      <c r="B145">
        <v>2016</v>
      </c>
      <c r="C145" t="s">
        <v>55</v>
      </c>
      <c r="D145">
        <v>12</v>
      </c>
      <c r="E145" s="1">
        <v>42705</v>
      </c>
      <c r="F145">
        <v>132.30000000000001</v>
      </c>
      <c r="G145">
        <v>137.6</v>
      </c>
      <c r="H145">
        <v>132.9</v>
      </c>
      <c r="I145">
        <v>135.1</v>
      </c>
      <c r="J145">
        <v>118.6</v>
      </c>
      <c r="K145">
        <v>132.69999999999999</v>
      </c>
      <c r="L145">
        <v>125.3</v>
      </c>
      <c r="M145">
        <v>168.7</v>
      </c>
      <c r="N145">
        <v>114.4</v>
      </c>
      <c r="O145">
        <v>140.19999999999999</v>
      </c>
      <c r="P145">
        <v>126.6</v>
      </c>
      <c r="Q145">
        <v>142.30000000000001</v>
      </c>
      <c r="R145">
        <v>134</v>
      </c>
      <c r="S145">
        <v>143.1</v>
      </c>
      <c r="T145">
        <v>136.30000000000001</v>
      </c>
      <c r="U145">
        <v>129.80000000000001</v>
      </c>
      <c r="V145">
        <v>135.4</v>
      </c>
      <c r="W145">
        <v>128.5</v>
      </c>
      <c r="X145">
        <v>126.6</v>
      </c>
      <c r="Y145">
        <v>129.19999999999999</v>
      </c>
      <c r="Z145">
        <v>126.9</v>
      </c>
      <c r="AA145">
        <v>116</v>
      </c>
      <c r="AB145">
        <v>124.2</v>
      </c>
      <c r="AC145">
        <v>133.1</v>
      </c>
      <c r="AD145">
        <v>121.1</v>
      </c>
      <c r="AE145">
        <v>123.9</v>
      </c>
      <c r="AF145">
        <v>130.4</v>
      </c>
    </row>
    <row r="146" spans="1:32">
      <c r="A146" t="s">
        <v>30</v>
      </c>
      <c r="B146">
        <v>2017</v>
      </c>
      <c r="C146" t="s">
        <v>31</v>
      </c>
      <c r="D146">
        <v>1</v>
      </c>
      <c r="E146" s="1">
        <v>42736</v>
      </c>
      <c r="F146">
        <v>133.1</v>
      </c>
      <c r="G146">
        <v>137.80000000000001</v>
      </c>
      <c r="H146">
        <v>131.9</v>
      </c>
      <c r="I146">
        <v>136.69999999999999</v>
      </c>
      <c r="J146">
        <v>122</v>
      </c>
      <c r="K146">
        <v>136</v>
      </c>
      <c r="L146">
        <v>119.8</v>
      </c>
      <c r="M146">
        <v>161.69999999999999</v>
      </c>
      <c r="N146">
        <v>114.8</v>
      </c>
      <c r="O146">
        <v>136.9</v>
      </c>
      <c r="P146">
        <v>129</v>
      </c>
      <c r="Q146">
        <v>143.9</v>
      </c>
      <c r="R146">
        <v>133.69999999999999</v>
      </c>
      <c r="S146">
        <v>143.1</v>
      </c>
      <c r="T146">
        <v>140.69999999999999</v>
      </c>
      <c r="U146">
        <v>135.80000000000001</v>
      </c>
      <c r="V146">
        <v>140</v>
      </c>
      <c r="X146">
        <v>132.1</v>
      </c>
      <c r="Y146">
        <v>133.19999999999999</v>
      </c>
      <c r="Z146">
        <v>129.9</v>
      </c>
      <c r="AA146">
        <v>119.1</v>
      </c>
      <c r="AB146">
        <v>127</v>
      </c>
      <c r="AC146">
        <v>134.6</v>
      </c>
      <c r="AD146">
        <v>122.3</v>
      </c>
      <c r="AE146">
        <v>126.6</v>
      </c>
      <c r="AF146">
        <v>132.4</v>
      </c>
    </row>
    <row r="147" spans="1:32">
      <c r="A147" t="s">
        <v>33</v>
      </c>
      <c r="B147">
        <v>2017</v>
      </c>
      <c r="C147" t="s">
        <v>31</v>
      </c>
      <c r="D147">
        <v>1</v>
      </c>
      <c r="E147" s="1">
        <v>42736</v>
      </c>
      <c r="F147">
        <v>132.19999999999999</v>
      </c>
      <c r="G147">
        <v>138.9</v>
      </c>
      <c r="H147">
        <v>132.6</v>
      </c>
      <c r="I147">
        <v>133.1</v>
      </c>
      <c r="J147">
        <v>114</v>
      </c>
      <c r="K147">
        <v>129.6</v>
      </c>
      <c r="L147">
        <v>118.7</v>
      </c>
      <c r="M147">
        <v>155.1</v>
      </c>
      <c r="N147">
        <v>117.3</v>
      </c>
      <c r="O147">
        <v>144.9</v>
      </c>
      <c r="P147">
        <v>123.2</v>
      </c>
      <c r="Q147">
        <v>141.6</v>
      </c>
      <c r="R147">
        <v>132</v>
      </c>
      <c r="S147">
        <v>145.6</v>
      </c>
      <c r="T147">
        <v>130.19999999999999</v>
      </c>
      <c r="U147">
        <v>122.3</v>
      </c>
      <c r="V147">
        <v>129</v>
      </c>
      <c r="W147">
        <v>129.6</v>
      </c>
      <c r="X147">
        <v>118</v>
      </c>
      <c r="Y147">
        <v>125.1</v>
      </c>
      <c r="Z147">
        <v>122.6</v>
      </c>
      <c r="AA147">
        <v>115.2</v>
      </c>
      <c r="AB147">
        <v>122</v>
      </c>
      <c r="AC147">
        <v>132.4</v>
      </c>
      <c r="AD147">
        <v>120.9</v>
      </c>
      <c r="AE147">
        <v>122.1</v>
      </c>
      <c r="AF147">
        <v>127.8</v>
      </c>
    </row>
    <row r="148" spans="1:32">
      <c r="A148" t="s">
        <v>35</v>
      </c>
      <c r="B148">
        <v>2017</v>
      </c>
      <c r="C148" t="s">
        <v>31</v>
      </c>
      <c r="D148">
        <v>1</v>
      </c>
      <c r="E148" s="1">
        <v>42736</v>
      </c>
      <c r="F148">
        <v>132.80000000000001</v>
      </c>
      <c r="G148">
        <v>138.19999999999999</v>
      </c>
      <c r="H148">
        <v>132.19999999999999</v>
      </c>
      <c r="I148">
        <v>135.4</v>
      </c>
      <c r="J148">
        <v>119.1</v>
      </c>
      <c r="K148">
        <v>133</v>
      </c>
      <c r="L148">
        <v>119.4</v>
      </c>
      <c r="M148">
        <v>159.5</v>
      </c>
      <c r="N148">
        <v>115.6</v>
      </c>
      <c r="O148">
        <v>139.6</v>
      </c>
      <c r="P148">
        <v>126.6</v>
      </c>
      <c r="Q148">
        <v>142.80000000000001</v>
      </c>
      <c r="R148">
        <v>133.1</v>
      </c>
      <c r="S148">
        <v>143.80000000000001</v>
      </c>
      <c r="T148">
        <v>136.6</v>
      </c>
      <c r="U148">
        <v>130.19999999999999</v>
      </c>
      <c r="V148">
        <v>135.6</v>
      </c>
      <c r="W148">
        <v>129.6</v>
      </c>
      <c r="X148">
        <v>126.8</v>
      </c>
      <c r="Y148">
        <v>129.4</v>
      </c>
      <c r="Z148">
        <v>127.1</v>
      </c>
      <c r="AA148">
        <v>117</v>
      </c>
      <c r="AB148">
        <v>124.2</v>
      </c>
      <c r="AC148">
        <v>133.30000000000001</v>
      </c>
      <c r="AD148">
        <v>121.7</v>
      </c>
      <c r="AE148">
        <v>124.4</v>
      </c>
      <c r="AF148">
        <v>130.30000000000001</v>
      </c>
    </row>
    <row r="149" spans="1:32">
      <c r="A149" t="s">
        <v>30</v>
      </c>
      <c r="B149">
        <v>2017</v>
      </c>
      <c r="C149" t="s">
        <v>36</v>
      </c>
      <c r="D149">
        <v>2</v>
      </c>
      <c r="E149" s="1">
        <v>42767</v>
      </c>
      <c r="F149">
        <v>133.30000000000001</v>
      </c>
      <c r="G149">
        <v>138.30000000000001</v>
      </c>
      <c r="H149">
        <v>129.30000000000001</v>
      </c>
      <c r="I149">
        <v>137.19999999999999</v>
      </c>
      <c r="J149">
        <v>122.1</v>
      </c>
      <c r="K149">
        <v>138.69999999999999</v>
      </c>
      <c r="L149">
        <v>119.1</v>
      </c>
      <c r="M149">
        <v>156.9</v>
      </c>
      <c r="N149">
        <v>116.2</v>
      </c>
      <c r="O149">
        <v>136</v>
      </c>
      <c r="P149">
        <v>129.4</v>
      </c>
      <c r="Q149">
        <v>144.4</v>
      </c>
      <c r="R149">
        <v>133.6</v>
      </c>
      <c r="S149">
        <v>143.69999999999999</v>
      </c>
      <c r="T149">
        <v>140.9</v>
      </c>
      <c r="U149">
        <v>135.80000000000001</v>
      </c>
      <c r="V149">
        <v>140.19999999999999</v>
      </c>
      <c r="X149">
        <v>133.19999999999999</v>
      </c>
      <c r="Y149">
        <v>133.6</v>
      </c>
      <c r="Z149">
        <v>130.1</v>
      </c>
      <c r="AA149">
        <v>119.5</v>
      </c>
      <c r="AB149">
        <v>127.7</v>
      </c>
      <c r="AC149">
        <v>134.9</v>
      </c>
      <c r="AD149">
        <v>123.2</v>
      </c>
      <c r="AE149">
        <v>127</v>
      </c>
      <c r="AF149">
        <v>132.6</v>
      </c>
    </row>
    <row r="150" spans="1:32">
      <c r="A150" t="s">
        <v>33</v>
      </c>
      <c r="B150">
        <v>2017</v>
      </c>
      <c r="C150" t="s">
        <v>36</v>
      </c>
      <c r="D150">
        <v>2</v>
      </c>
      <c r="E150" s="1">
        <v>42767</v>
      </c>
      <c r="F150">
        <v>132.80000000000001</v>
      </c>
      <c r="G150">
        <v>139.80000000000001</v>
      </c>
      <c r="H150">
        <v>129.30000000000001</v>
      </c>
      <c r="I150">
        <v>133.5</v>
      </c>
      <c r="J150">
        <v>114.3</v>
      </c>
      <c r="K150">
        <v>131.4</v>
      </c>
      <c r="L150">
        <v>120.2</v>
      </c>
      <c r="M150">
        <v>143.1</v>
      </c>
      <c r="N150">
        <v>119.5</v>
      </c>
      <c r="O150">
        <v>144</v>
      </c>
      <c r="P150">
        <v>123.4</v>
      </c>
      <c r="Q150">
        <v>141.9</v>
      </c>
      <c r="R150">
        <v>132.1</v>
      </c>
      <c r="S150">
        <v>146.30000000000001</v>
      </c>
      <c r="T150">
        <v>130.5</v>
      </c>
      <c r="U150">
        <v>122.5</v>
      </c>
      <c r="V150">
        <v>129.30000000000001</v>
      </c>
      <c r="W150">
        <v>130.5</v>
      </c>
      <c r="X150">
        <v>119.2</v>
      </c>
      <c r="Y150">
        <v>125.3</v>
      </c>
      <c r="Z150">
        <v>122.9</v>
      </c>
      <c r="AA150">
        <v>115.5</v>
      </c>
      <c r="AB150">
        <v>122.2</v>
      </c>
      <c r="AC150">
        <v>132.4</v>
      </c>
      <c r="AD150">
        <v>121.7</v>
      </c>
      <c r="AE150">
        <v>122.4</v>
      </c>
      <c r="AF150">
        <v>128.19999999999999</v>
      </c>
    </row>
    <row r="151" spans="1:32">
      <c r="A151" t="s">
        <v>35</v>
      </c>
      <c r="B151">
        <v>2017</v>
      </c>
      <c r="C151" t="s">
        <v>36</v>
      </c>
      <c r="D151">
        <v>2</v>
      </c>
      <c r="E151" s="1">
        <v>42767</v>
      </c>
      <c r="F151">
        <v>133.1</v>
      </c>
      <c r="G151">
        <v>138.80000000000001</v>
      </c>
      <c r="H151">
        <v>129.30000000000001</v>
      </c>
      <c r="I151">
        <v>135.80000000000001</v>
      </c>
      <c r="J151">
        <v>119.2</v>
      </c>
      <c r="K151">
        <v>135.30000000000001</v>
      </c>
      <c r="L151">
        <v>119.5</v>
      </c>
      <c r="M151">
        <v>152.19999999999999</v>
      </c>
      <c r="N151">
        <v>117.3</v>
      </c>
      <c r="O151">
        <v>138.69999999999999</v>
      </c>
      <c r="P151">
        <v>126.9</v>
      </c>
      <c r="Q151">
        <v>143.19999999999999</v>
      </c>
      <c r="R151">
        <v>133</v>
      </c>
      <c r="S151">
        <v>144.4</v>
      </c>
      <c r="T151">
        <v>136.80000000000001</v>
      </c>
      <c r="U151">
        <v>130.30000000000001</v>
      </c>
      <c r="V151">
        <v>135.9</v>
      </c>
      <c r="W151">
        <v>130.5</v>
      </c>
      <c r="X151">
        <v>127.9</v>
      </c>
      <c r="Y151">
        <v>129.69999999999999</v>
      </c>
      <c r="Z151">
        <v>127.4</v>
      </c>
      <c r="AA151">
        <v>117.4</v>
      </c>
      <c r="AB151">
        <v>124.6</v>
      </c>
      <c r="AC151">
        <v>133.4</v>
      </c>
      <c r="AD151">
        <v>122.6</v>
      </c>
      <c r="AE151">
        <v>124.8</v>
      </c>
      <c r="AF151">
        <v>130.6</v>
      </c>
    </row>
    <row r="152" spans="1:32">
      <c r="A152" t="s">
        <v>30</v>
      </c>
      <c r="B152">
        <v>2017</v>
      </c>
      <c r="C152" t="s">
        <v>38</v>
      </c>
      <c r="D152">
        <v>3</v>
      </c>
      <c r="E152" s="1">
        <v>42795</v>
      </c>
      <c r="F152">
        <v>133.6</v>
      </c>
      <c r="G152">
        <v>138.80000000000001</v>
      </c>
      <c r="H152">
        <v>128.80000000000001</v>
      </c>
      <c r="I152">
        <v>137.19999999999999</v>
      </c>
      <c r="J152">
        <v>121.6</v>
      </c>
      <c r="K152">
        <v>139.69999999999999</v>
      </c>
      <c r="L152">
        <v>119.7</v>
      </c>
      <c r="M152">
        <v>148</v>
      </c>
      <c r="N152">
        <v>116.9</v>
      </c>
      <c r="O152">
        <v>135.6</v>
      </c>
      <c r="P152">
        <v>129.80000000000001</v>
      </c>
      <c r="Q152">
        <v>145.4</v>
      </c>
      <c r="R152">
        <v>133.4</v>
      </c>
      <c r="S152">
        <v>144.19999999999999</v>
      </c>
      <c r="T152">
        <v>141.6</v>
      </c>
      <c r="U152">
        <v>136.19999999999999</v>
      </c>
      <c r="V152">
        <v>140.80000000000001</v>
      </c>
      <c r="X152">
        <v>134.19999999999999</v>
      </c>
      <c r="Y152">
        <v>134.1</v>
      </c>
      <c r="Z152">
        <v>130.6</v>
      </c>
      <c r="AA152">
        <v>119.8</v>
      </c>
      <c r="AB152">
        <v>128.30000000000001</v>
      </c>
      <c r="AC152">
        <v>135.19999999999999</v>
      </c>
      <c r="AD152">
        <v>123.3</v>
      </c>
      <c r="AE152">
        <v>127.4</v>
      </c>
      <c r="AF152">
        <v>132.80000000000001</v>
      </c>
    </row>
    <row r="153" spans="1:32">
      <c r="A153" t="s">
        <v>33</v>
      </c>
      <c r="B153">
        <v>2017</v>
      </c>
      <c r="C153" t="s">
        <v>38</v>
      </c>
      <c r="D153">
        <v>3</v>
      </c>
      <c r="E153" s="1">
        <v>42795</v>
      </c>
      <c r="F153">
        <v>132.69999999999999</v>
      </c>
      <c r="G153">
        <v>139.4</v>
      </c>
      <c r="H153">
        <v>128.4</v>
      </c>
      <c r="I153">
        <v>134.9</v>
      </c>
      <c r="J153">
        <v>114</v>
      </c>
      <c r="K153">
        <v>136.80000000000001</v>
      </c>
      <c r="L153">
        <v>122.2</v>
      </c>
      <c r="M153">
        <v>135.80000000000001</v>
      </c>
      <c r="N153">
        <v>120.3</v>
      </c>
      <c r="O153">
        <v>142.6</v>
      </c>
      <c r="P153">
        <v>123.6</v>
      </c>
      <c r="Q153">
        <v>142.4</v>
      </c>
      <c r="R153">
        <v>132.6</v>
      </c>
      <c r="S153">
        <v>147.5</v>
      </c>
      <c r="T153">
        <v>130.80000000000001</v>
      </c>
      <c r="U153">
        <v>122.8</v>
      </c>
      <c r="V153">
        <v>129.6</v>
      </c>
      <c r="W153">
        <v>131.1</v>
      </c>
      <c r="X153">
        <v>120.8</v>
      </c>
      <c r="Y153">
        <v>125.6</v>
      </c>
      <c r="Z153">
        <v>123.1</v>
      </c>
      <c r="AA153">
        <v>115.6</v>
      </c>
      <c r="AB153">
        <v>122.4</v>
      </c>
      <c r="AC153">
        <v>132.80000000000001</v>
      </c>
      <c r="AD153">
        <v>121.7</v>
      </c>
      <c r="AE153">
        <v>122.6</v>
      </c>
      <c r="AF153">
        <v>128.69999999999999</v>
      </c>
    </row>
    <row r="154" spans="1:32">
      <c r="A154" t="s">
        <v>35</v>
      </c>
      <c r="B154">
        <v>2017</v>
      </c>
      <c r="C154" t="s">
        <v>38</v>
      </c>
      <c r="D154">
        <v>3</v>
      </c>
      <c r="E154" s="1">
        <v>42795</v>
      </c>
      <c r="F154">
        <v>133.30000000000001</v>
      </c>
      <c r="G154">
        <v>139</v>
      </c>
      <c r="H154">
        <v>128.6</v>
      </c>
      <c r="I154">
        <v>136.30000000000001</v>
      </c>
      <c r="J154">
        <v>118.8</v>
      </c>
      <c r="K154">
        <v>138.30000000000001</v>
      </c>
      <c r="L154">
        <v>120.5</v>
      </c>
      <c r="M154">
        <v>143.9</v>
      </c>
      <c r="N154">
        <v>118</v>
      </c>
      <c r="O154">
        <v>137.9</v>
      </c>
      <c r="P154">
        <v>127.2</v>
      </c>
      <c r="Q154">
        <v>144</v>
      </c>
      <c r="R154">
        <v>133.1</v>
      </c>
      <c r="S154">
        <v>145.1</v>
      </c>
      <c r="T154">
        <v>137.30000000000001</v>
      </c>
      <c r="U154">
        <v>130.6</v>
      </c>
      <c r="V154">
        <v>136.4</v>
      </c>
      <c r="W154">
        <v>131.1</v>
      </c>
      <c r="X154">
        <v>129.1</v>
      </c>
      <c r="Y154">
        <v>130.1</v>
      </c>
      <c r="Z154">
        <v>127.8</v>
      </c>
      <c r="AA154">
        <v>117.6</v>
      </c>
      <c r="AB154">
        <v>125</v>
      </c>
      <c r="AC154">
        <v>133.80000000000001</v>
      </c>
      <c r="AD154">
        <v>122.6</v>
      </c>
      <c r="AE154">
        <v>125.1</v>
      </c>
      <c r="AF154">
        <v>130.9</v>
      </c>
    </row>
    <row r="155" spans="1:32">
      <c r="A155" t="s">
        <v>30</v>
      </c>
      <c r="B155">
        <v>2017</v>
      </c>
      <c r="C155" t="s">
        <v>39</v>
      </c>
      <c r="D155">
        <v>4</v>
      </c>
      <c r="E155" s="1">
        <v>42826</v>
      </c>
      <c r="F155">
        <v>133.19999999999999</v>
      </c>
      <c r="G155">
        <v>138.69999999999999</v>
      </c>
      <c r="H155">
        <v>127.1</v>
      </c>
      <c r="I155">
        <v>137.69999999999999</v>
      </c>
      <c r="J155">
        <v>121.3</v>
      </c>
      <c r="K155">
        <v>141.80000000000001</v>
      </c>
      <c r="L155">
        <v>121.5</v>
      </c>
      <c r="M155">
        <v>144.5</v>
      </c>
      <c r="N155">
        <v>117.4</v>
      </c>
      <c r="O155">
        <v>134.1</v>
      </c>
      <c r="P155">
        <v>130</v>
      </c>
      <c r="Q155">
        <v>145.5</v>
      </c>
      <c r="R155">
        <v>133.5</v>
      </c>
      <c r="S155">
        <v>144.4</v>
      </c>
      <c r="T155">
        <v>142.4</v>
      </c>
      <c r="U155">
        <v>136.80000000000001</v>
      </c>
      <c r="V155">
        <v>141.6</v>
      </c>
      <c r="X155">
        <v>135</v>
      </c>
      <c r="Y155">
        <v>134.30000000000001</v>
      </c>
      <c r="Z155">
        <v>131</v>
      </c>
      <c r="AA155">
        <v>119.2</v>
      </c>
      <c r="AB155">
        <v>128.30000000000001</v>
      </c>
      <c r="AC155">
        <v>135.69999999999999</v>
      </c>
      <c r="AD155">
        <v>123.7</v>
      </c>
      <c r="AE155">
        <v>127.5</v>
      </c>
      <c r="AF155">
        <v>132.9</v>
      </c>
    </row>
    <row r="156" spans="1:32">
      <c r="A156" t="s">
        <v>33</v>
      </c>
      <c r="B156">
        <v>2017</v>
      </c>
      <c r="C156" t="s">
        <v>39</v>
      </c>
      <c r="D156">
        <v>4</v>
      </c>
      <c r="E156" s="1">
        <v>42826</v>
      </c>
      <c r="F156">
        <v>132.69999999999999</v>
      </c>
      <c r="G156">
        <v>140.6</v>
      </c>
      <c r="H156">
        <v>124.5</v>
      </c>
      <c r="I156">
        <v>136.30000000000001</v>
      </c>
      <c r="J156">
        <v>113.5</v>
      </c>
      <c r="K156">
        <v>137.69999999999999</v>
      </c>
      <c r="L156">
        <v>127.1</v>
      </c>
      <c r="M156">
        <v>133.80000000000001</v>
      </c>
      <c r="N156">
        <v>120.8</v>
      </c>
      <c r="O156">
        <v>141.30000000000001</v>
      </c>
      <c r="P156">
        <v>123.8</v>
      </c>
      <c r="Q156">
        <v>142.6</v>
      </c>
      <c r="R156">
        <v>133.4</v>
      </c>
      <c r="S156">
        <v>148</v>
      </c>
      <c r="T156">
        <v>131.19999999999999</v>
      </c>
      <c r="U156">
        <v>123</v>
      </c>
      <c r="V156">
        <v>130</v>
      </c>
      <c r="W156">
        <v>131.69999999999999</v>
      </c>
      <c r="X156">
        <v>121.4</v>
      </c>
      <c r="Y156">
        <v>126</v>
      </c>
      <c r="Z156">
        <v>123.4</v>
      </c>
      <c r="AA156">
        <v>114.3</v>
      </c>
      <c r="AB156">
        <v>122.6</v>
      </c>
      <c r="AC156">
        <v>133.6</v>
      </c>
      <c r="AD156">
        <v>122.2</v>
      </c>
      <c r="AE156">
        <v>122.5</v>
      </c>
      <c r="AF156">
        <v>129.1</v>
      </c>
    </row>
    <row r="157" spans="1:32">
      <c r="A157" t="s">
        <v>35</v>
      </c>
      <c r="B157">
        <v>2017</v>
      </c>
      <c r="C157" t="s">
        <v>39</v>
      </c>
      <c r="D157">
        <v>4</v>
      </c>
      <c r="E157" s="1">
        <v>42826</v>
      </c>
      <c r="F157">
        <v>133</v>
      </c>
      <c r="G157">
        <v>139.4</v>
      </c>
      <c r="H157">
        <v>126.1</v>
      </c>
      <c r="I157">
        <v>137.19999999999999</v>
      </c>
      <c r="J157">
        <v>118.4</v>
      </c>
      <c r="K157">
        <v>139.9</v>
      </c>
      <c r="L157">
        <v>123.4</v>
      </c>
      <c r="M157">
        <v>140.9</v>
      </c>
      <c r="N157">
        <v>118.5</v>
      </c>
      <c r="O157">
        <v>136.5</v>
      </c>
      <c r="P157">
        <v>127.4</v>
      </c>
      <c r="Q157">
        <v>144.19999999999999</v>
      </c>
      <c r="R157">
        <v>133.5</v>
      </c>
      <c r="S157">
        <v>145.4</v>
      </c>
      <c r="T157">
        <v>138</v>
      </c>
      <c r="U157">
        <v>131.1</v>
      </c>
      <c r="V157">
        <v>137</v>
      </c>
      <c r="W157">
        <v>131.69999999999999</v>
      </c>
      <c r="X157">
        <v>129.80000000000001</v>
      </c>
      <c r="Y157">
        <v>130.4</v>
      </c>
      <c r="Z157">
        <v>128.1</v>
      </c>
      <c r="AA157">
        <v>116.6</v>
      </c>
      <c r="AB157">
        <v>125.1</v>
      </c>
      <c r="AC157">
        <v>134.5</v>
      </c>
      <c r="AD157">
        <v>123.1</v>
      </c>
      <c r="AE157">
        <v>125.1</v>
      </c>
      <c r="AF157">
        <v>131.1</v>
      </c>
    </row>
    <row r="158" spans="1:32">
      <c r="A158" t="s">
        <v>30</v>
      </c>
      <c r="B158">
        <v>2017</v>
      </c>
      <c r="C158" t="s">
        <v>41</v>
      </c>
      <c r="D158">
        <v>5</v>
      </c>
      <c r="E158" s="1">
        <v>42856</v>
      </c>
      <c r="F158">
        <v>133.1</v>
      </c>
      <c r="G158">
        <v>140.30000000000001</v>
      </c>
      <c r="H158">
        <v>126.8</v>
      </c>
      <c r="I158">
        <v>138.19999999999999</v>
      </c>
      <c r="J158">
        <v>120.8</v>
      </c>
      <c r="K158">
        <v>140.19999999999999</v>
      </c>
      <c r="L158">
        <v>123.8</v>
      </c>
      <c r="M158">
        <v>141.80000000000001</v>
      </c>
      <c r="N158">
        <v>118.6</v>
      </c>
      <c r="O158">
        <v>134</v>
      </c>
      <c r="P158">
        <v>130.30000000000001</v>
      </c>
      <c r="Q158">
        <v>145.80000000000001</v>
      </c>
      <c r="R158">
        <v>133.80000000000001</v>
      </c>
      <c r="S158">
        <v>145.5</v>
      </c>
      <c r="T158">
        <v>142.5</v>
      </c>
      <c r="U158">
        <v>137.30000000000001</v>
      </c>
      <c r="V158">
        <v>141.80000000000001</v>
      </c>
      <c r="X158">
        <v>135</v>
      </c>
      <c r="Y158">
        <v>134.9</v>
      </c>
      <c r="Z158">
        <v>131.4</v>
      </c>
      <c r="AA158">
        <v>119.4</v>
      </c>
      <c r="AB158">
        <v>129.4</v>
      </c>
      <c r="AC158">
        <v>136.30000000000001</v>
      </c>
      <c r="AD158">
        <v>123.7</v>
      </c>
      <c r="AE158">
        <v>127.9</v>
      </c>
      <c r="AF158">
        <v>133.30000000000001</v>
      </c>
    </row>
    <row r="159" spans="1:32">
      <c r="A159" t="s">
        <v>33</v>
      </c>
      <c r="B159">
        <v>2017</v>
      </c>
      <c r="C159" t="s">
        <v>41</v>
      </c>
      <c r="D159">
        <v>5</v>
      </c>
      <c r="E159" s="1">
        <v>42856</v>
      </c>
      <c r="F159">
        <v>132.6</v>
      </c>
      <c r="G159">
        <v>144.1</v>
      </c>
      <c r="H159">
        <v>125.6</v>
      </c>
      <c r="I159">
        <v>136.80000000000001</v>
      </c>
      <c r="J159">
        <v>113.4</v>
      </c>
      <c r="K159">
        <v>135.19999999999999</v>
      </c>
      <c r="L159">
        <v>129.19999999999999</v>
      </c>
      <c r="M159">
        <v>131.5</v>
      </c>
      <c r="N159">
        <v>121</v>
      </c>
      <c r="O159">
        <v>139.9</v>
      </c>
      <c r="P159">
        <v>123.8</v>
      </c>
      <c r="Q159">
        <v>142.9</v>
      </c>
      <c r="R159">
        <v>133.6</v>
      </c>
      <c r="S159">
        <v>148.30000000000001</v>
      </c>
      <c r="T159">
        <v>131.5</v>
      </c>
      <c r="U159">
        <v>123.2</v>
      </c>
      <c r="V159">
        <v>130.19999999999999</v>
      </c>
      <c r="W159">
        <v>132.1</v>
      </c>
      <c r="X159">
        <v>120.1</v>
      </c>
      <c r="Y159">
        <v>126.5</v>
      </c>
      <c r="Z159">
        <v>123.6</v>
      </c>
      <c r="AA159">
        <v>114.3</v>
      </c>
      <c r="AB159">
        <v>122.8</v>
      </c>
      <c r="AC159">
        <v>133.80000000000001</v>
      </c>
      <c r="AD159">
        <v>122</v>
      </c>
      <c r="AE159">
        <v>122.6</v>
      </c>
      <c r="AF159">
        <v>129.30000000000001</v>
      </c>
    </row>
    <row r="160" spans="1:32">
      <c r="A160" t="s">
        <v>35</v>
      </c>
      <c r="B160">
        <v>2017</v>
      </c>
      <c r="C160" t="s">
        <v>41</v>
      </c>
      <c r="D160">
        <v>5</v>
      </c>
      <c r="E160" s="1">
        <v>42856</v>
      </c>
      <c r="F160">
        <v>132.9</v>
      </c>
      <c r="G160">
        <v>141.6</v>
      </c>
      <c r="H160">
        <v>126.3</v>
      </c>
      <c r="I160">
        <v>137.69999999999999</v>
      </c>
      <c r="J160">
        <v>118.1</v>
      </c>
      <c r="K160">
        <v>137.9</v>
      </c>
      <c r="L160">
        <v>125.6</v>
      </c>
      <c r="M160">
        <v>138.30000000000001</v>
      </c>
      <c r="N160">
        <v>119.4</v>
      </c>
      <c r="O160">
        <v>136</v>
      </c>
      <c r="P160">
        <v>127.6</v>
      </c>
      <c r="Q160">
        <v>144.5</v>
      </c>
      <c r="R160">
        <v>133.69999999999999</v>
      </c>
      <c r="S160">
        <v>146.19999999999999</v>
      </c>
      <c r="T160">
        <v>138.19999999999999</v>
      </c>
      <c r="U160">
        <v>131.4</v>
      </c>
      <c r="V160">
        <v>137.19999999999999</v>
      </c>
      <c r="W160">
        <v>132.1</v>
      </c>
      <c r="X160">
        <v>129.4</v>
      </c>
      <c r="Y160">
        <v>130.9</v>
      </c>
      <c r="Z160">
        <v>128.4</v>
      </c>
      <c r="AA160">
        <v>116.7</v>
      </c>
      <c r="AB160">
        <v>125.7</v>
      </c>
      <c r="AC160">
        <v>134.80000000000001</v>
      </c>
      <c r="AD160">
        <v>123</v>
      </c>
      <c r="AE160">
        <v>125.3</v>
      </c>
      <c r="AF160">
        <v>131.4</v>
      </c>
    </row>
    <row r="161" spans="1:32">
      <c r="A161" t="s">
        <v>30</v>
      </c>
      <c r="B161">
        <v>2017</v>
      </c>
      <c r="C161" t="s">
        <v>42</v>
      </c>
      <c r="D161">
        <v>6</v>
      </c>
      <c r="E161" s="1">
        <v>42887</v>
      </c>
      <c r="F161">
        <v>133.5</v>
      </c>
      <c r="G161">
        <v>143.69999999999999</v>
      </c>
      <c r="H161">
        <v>128</v>
      </c>
      <c r="I161">
        <v>138.6</v>
      </c>
      <c r="J161">
        <v>120.9</v>
      </c>
      <c r="K161">
        <v>140.9</v>
      </c>
      <c r="L161">
        <v>128.80000000000001</v>
      </c>
      <c r="M161">
        <v>140.19999999999999</v>
      </c>
      <c r="N161">
        <v>118.9</v>
      </c>
      <c r="O161">
        <v>133.5</v>
      </c>
      <c r="P161">
        <v>130.4</v>
      </c>
      <c r="Q161">
        <v>146.5</v>
      </c>
      <c r="R161">
        <v>134.9</v>
      </c>
      <c r="S161">
        <v>145.80000000000001</v>
      </c>
      <c r="T161">
        <v>143.1</v>
      </c>
      <c r="U161">
        <v>137.69999999999999</v>
      </c>
      <c r="V161">
        <v>142.30000000000001</v>
      </c>
      <c r="X161">
        <v>134.80000000000001</v>
      </c>
      <c r="Y161">
        <v>135.19999999999999</v>
      </c>
      <c r="Z161">
        <v>131.30000000000001</v>
      </c>
      <c r="AA161">
        <v>119.4</v>
      </c>
      <c r="AB161">
        <v>129.80000000000001</v>
      </c>
      <c r="AC161">
        <v>136.9</v>
      </c>
      <c r="AD161">
        <v>124.1</v>
      </c>
      <c r="AE161">
        <v>128.1</v>
      </c>
      <c r="AF161">
        <v>133.9</v>
      </c>
    </row>
    <row r="162" spans="1:32">
      <c r="A162" t="s">
        <v>33</v>
      </c>
      <c r="B162">
        <v>2017</v>
      </c>
      <c r="C162" t="s">
        <v>42</v>
      </c>
      <c r="D162">
        <v>6</v>
      </c>
      <c r="E162" s="1">
        <v>42887</v>
      </c>
      <c r="F162">
        <v>132.9</v>
      </c>
      <c r="G162">
        <v>148.69999999999999</v>
      </c>
      <c r="H162">
        <v>128.30000000000001</v>
      </c>
      <c r="I162">
        <v>137.30000000000001</v>
      </c>
      <c r="J162">
        <v>113.5</v>
      </c>
      <c r="K162">
        <v>137.19999999999999</v>
      </c>
      <c r="L162">
        <v>142.19999999999999</v>
      </c>
      <c r="M162">
        <v>128.19999999999999</v>
      </c>
      <c r="N162">
        <v>120.9</v>
      </c>
      <c r="O162">
        <v>138.80000000000001</v>
      </c>
      <c r="P162">
        <v>124.2</v>
      </c>
      <c r="Q162">
        <v>143.1</v>
      </c>
      <c r="R162">
        <v>135.69999999999999</v>
      </c>
      <c r="S162">
        <v>148.6</v>
      </c>
      <c r="T162">
        <v>131.5</v>
      </c>
      <c r="U162">
        <v>123.2</v>
      </c>
      <c r="V162">
        <v>130.19999999999999</v>
      </c>
      <c r="W162">
        <v>131.4</v>
      </c>
      <c r="X162">
        <v>119</v>
      </c>
      <c r="Y162">
        <v>126.8</v>
      </c>
      <c r="Z162">
        <v>123.8</v>
      </c>
      <c r="AA162">
        <v>113.9</v>
      </c>
      <c r="AB162">
        <v>122.9</v>
      </c>
      <c r="AC162">
        <v>134.30000000000001</v>
      </c>
      <c r="AD162">
        <v>122.5</v>
      </c>
      <c r="AE162">
        <v>122.7</v>
      </c>
      <c r="AF162">
        <v>129.9</v>
      </c>
    </row>
    <row r="163" spans="1:32">
      <c r="A163" t="s">
        <v>35</v>
      </c>
      <c r="B163">
        <v>2017</v>
      </c>
      <c r="C163" t="s">
        <v>42</v>
      </c>
      <c r="D163">
        <v>6</v>
      </c>
      <c r="E163" s="1">
        <v>42887</v>
      </c>
      <c r="F163">
        <v>133.30000000000001</v>
      </c>
      <c r="G163">
        <v>145.5</v>
      </c>
      <c r="H163">
        <v>128.1</v>
      </c>
      <c r="I163">
        <v>138.1</v>
      </c>
      <c r="J163">
        <v>118.2</v>
      </c>
      <c r="K163">
        <v>139.19999999999999</v>
      </c>
      <c r="L163">
        <v>133.30000000000001</v>
      </c>
      <c r="M163">
        <v>136.19999999999999</v>
      </c>
      <c r="N163">
        <v>119.6</v>
      </c>
      <c r="O163">
        <v>135.30000000000001</v>
      </c>
      <c r="P163">
        <v>127.8</v>
      </c>
      <c r="Q163">
        <v>144.9</v>
      </c>
      <c r="R163">
        <v>135.19999999999999</v>
      </c>
      <c r="S163">
        <v>146.5</v>
      </c>
      <c r="T163">
        <v>138.5</v>
      </c>
      <c r="U163">
        <v>131.69999999999999</v>
      </c>
      <c r="V163">
        <v>137.5</v>
      </c>
      <c r="W163">
        <v>131.4</v>
      </c>
      <c r="X163">
        <v>128.80000000000001</v>
      </c>
      <c r="Y163">
        <v>131.19999999999999</v>
      </c>
      <c r="Z163">
        <v>128.5</v>
      </c>
      <c r="AA163">
        <v>116.5</v>
      </c>
      <c r="AB163">
        <v>125.9</v>
      </c>
      <c r="AC163">
        <v>135.4</v>
      </c>
      <c r="AD163">
        <v>123.4</v>
      </c>
      <c r="AE163">
        <v>125.5</v>
      </c>
      <c r="AF163">
        <v>132</v>
      </c>
    </row>
    <row r="164" spans="1:32">
      <c r="A164" t="s">
        <v>30</v>
      </c>
      <c r="B164">
        <v>2017</v>
      </c>
      <c r="C164" t="s">
        <v>44</v>
      </c>
      <c r="D164">
        <v>7</v>
      </c>
      <c r="E164" s="1">
        <v>42917</v>
      </c>
      <c r="F164">
        <v>134</v>
      </c>
      <c r="G164">
        <v>144.19999999999999</v>
      </c>
      <c r="H164">
        <v>129.80000000000001</v>
      </c>
      <c r="I164">
        <v>139</v>
      </c>
      <c r="J164">
        <v>120.9</v>
      </c>
      <c r="K164">
        <v>143.9</v>
      </c>
      <c r="L164">
        <v>151.5</v>
      </c>
      <c r="M164">
        <v>138.1</v>
      </c>
      <c r="N164">
        <v>120</v>
      </c>
      <c r="O164">
        <v>133.9</v>
      </c>
      <c r="P164">
        <v>131.4</v>
      </c>
      <c r="Q164">
        <v>147.69999999999999</v>
      </c>
      <c r="R164">
        <v>138.5</v>
      </c>
      <c r="S164">
        <v>147.4</v>
      </c>
      <c r="T164">
        <v>144.30000000000001</v>
      </c>
      <c r="U164">
        <v>138.1</v>
      </c>
      <c r="V164">
        <v>143.5</v>
      </c>
      <c r="X164">
        <v>135.30000000000001</v>
      </c>
      <c r="Y164">
        <v>136.1</v>
      </c>
      <c r="Z164">
        <v>132.1</v>
      </c>
      <c r="AA164">
        <v>119.1</v>
      </c>
      <c r="AB164">
        <v>130.6</v>
      </c>
      <c r="AC164">
        <v>138.6</v>
      </c>
      <c r="AD164">
        <v>124.4</v>
      </c>
      <c r="AE164">
        <v>128.6</v>
      </c>
      <c r="AF164">
        <v>136.19999999999999</v>
      </c>
    </row>
    <row r="165" spans="1:32">
      <c r="A165" t="s">
        <v>33</v>
      </c>
      <c r="B165">
        <v>2017</v>
      </c>
      <c r="C165" t="s">
        <v>44</v>
      </c>
      <c r="D165">
        <v>7</v>
      </c>
      <c r="E165" s="1">
        <v>42917</v>
      </c>
      <c r="F165">
        <v>132.80000000000001</v>
      </c>
      <c r="G165">
        <v>148.4</v>
      </c>
      <c r="H165">
        <v>129.4</v>
      </c>
      <c r="I165">
        <v>137.69999999999999</v>
      </c>
      <c r="J165">
        <v>113.4</v>
      </c>
      <c r="K165">
        <v>139.4</v>
      </c>
      <c r="L165">
        <v>175.1</v>
      </c>
      <c r="M165">
        <v>124.7</v>
      </c>
      <c r="N165">
        <v>121.5</v>
      </c>
      <c r="O165">
        <v>137.80000000000001</v>
      </c>
      <c r="P165">
        <v>124.4</v>
      </c>
      <c r="Q165">
        <v>143.69999999999999</v>
      </c>
      <c r="R165">
        <v>139.80000000000001</v>
      </c>
      <c r="S165">
        <v>150.5</v>
      </c>
      <c r="T165">
        <v>131.6</v>
      </c>
      <c r="U165">
        <v>123.7</v>
      </c>
      <c r="V165">
        <v>130.4</v>
      </c>
      <c r="W165">
        <v>132.6</v>
      </c>
      <c r="X165">
        <v>119.7</v>
      </c>
      <c r="Y165">
        <v>127.2</v>
      </c>
      <c r="Z165">
        <v>125</v>
      </c>
      <c r="AA165">
        <v>113.2</v>
      </c>
      <c r="AB165">
        <v>123.5</v>
      </c>
      <c r="AC165">
        <v>135.5</v>
      </c>
      <c r="AD165">
        <v>122.4</v>
      </c>
      <c r="AE165">
        <v>123</v>
      </c>
      <c r="AF165">
        <v>131.80000000000001</v>
      </c>
    </row>
    <row r="166" spans="1:32">
      <c r="A166" t="s">
        <v>35</v>
      </c>
      <c r="B166">
        <v>2017</v>
      </c>
      <c r="C166" t="s">
        <v>44</v>
      </c>
      <c r="D166">
        <v>7</v>
      </c>
      <c r="E166" s="1">
        <v>42917</v>
      </c>
      <c r="F166">
        <v>133.6</v>
      </c>
      <c r="G166">
        <v>145.69999999999999</v>
      </c>
      <c r="H166">
        <v>129.6</v>
      </c>
      <c r="I166">
        <v>138.5</v>
      </c>
      <c r="J166">
        <v>118.1</v>
      </c>
      <c r="K166">
        <v>141.80000000000001</v>
      </c>
      <c r="L166">
        <v>159.5</v>
      </c>
      <c r="M166">
        <v>133.6</v>
      </c>
      <c r="N166">
        <v>120.5</v>
      </c>
      <c r="O166">
        <v>135.19999999999999</v>
      </c>
      <c r="P166">
        <v>128.5</v>
      </c>
      <c r="Q166">
        <v>145.80000000000001</v>
      </c>
      <c r="R166">
        <v>139</v>
      </c>
      <c r="S166">
        <v>148.19999999999999</v>
      </c>
      <c r="T166">
        <v>139.30000000000001</v>
      </c>
      <c r="U166">
        <v>132.1</v>
      </c>
      <c r="V166">
        <v>138.30000000000001</v>
      </c>
      <c r="W166">
        <v>132.6</v>
      </c>
      <c r="X166">
        <v>129.4</v>
      </c>
      <c r="Y166">
        <v>131.9</v>
      </c>
      <c r="Z166">
        <v>129.4</v>
      </c>
      <c r="AA166">
        <v>116</v>
      </c>
      <c r="AB166">
        <v>126.6</v>
      </c>
      <c r="AC166">
        <v>136.80000000000001</v>
      </c>
      <c r="AD166">
        <v>123.6</v>
      </c>
      <c r="AE166">
        <v>125.9</v>
      </c>
      <c r="AF166">
        <v>134.19999999999999</v>
      </c>
    </row>
    <row r="167" spans="1:32">
      <c r="A167" t="s">
        <v>30</v>
      </c>
      <c r="B167">
        <v>2017</v>
      </c>
      <c r="C167" t="s">
        <v>46</v>
      </c>
      <c r="D167">
        <v>8</v>
      </c>
      <c r="E167" s="1">
        <v>42948</v>
      </c>
      <c r="F167">
        <v>134.80000000000001</v>
      </c>
      <c r="G167">
        <v>143.1</v>
      </c>
      <c r="H167">
        <v>130</v>
      </c>
      <c r="I167">
        <v>139.4</v>
      </c>
      <c r="J167">
        <v>120.5</v>
      </c>
      <c r="K167">
        <v>148</v>
      </c>
      <c r="L167">
        <v>162.9</v>
      </c>
      <c r="M167">
        <v>137.4</v>
      </c>
      <c r="N167">
        <v>120.8</v>
      </c>
      <c r="O167">
        <v>134.69999999999999</v>
      </c>
      <c r="P167">
        <v>131.6</v>
      </c>
      <c r="Q167">
        <v>148.69999999999999</v>
      </c>
      <c r="R167">
        <v>140.6</v>
      </c>
      <c r="S167">
        <v>149</v>
      </c>
      <c r="T167">
        <v>145.30000000000001</v>
      </c>
      <c r="U167">
        <v>139.19999999999999</v>
      </c>
      <c r="V167">
        <v>144.5</v>
      </c>
      <c r="X167">
        <v>136.4</v>
      </c>
      <c r="Y167">
        <v>137.30000000000001</v>
      </c>
      <c r="Z167">
        <v>133</v>
      </c>
      <c r="AA167">
        <v>120.3</v>
      </c>
      <c r="AB167">
        <v>131.5</v>
      </c>
      <c r="AC167">
        <v>140.19999999999999</v>
      </c>
      <c r="AD167">
        <v>125.4</v>
      </c>
      <c r="AE167">
        <v>129.69999999999999</v>
      </c>
      <c r="AF167">
        <v>137.80000000000001</v>
      </c>
    </row>
    <row r="168" spans="1:32">
      <c r="A168" t="s">
        <v>33</v>
      </c>
      <c r="B168">
        <v>2017</v>
      </c>
      <c r="C168" t="s">
        <v>46</v>
      </c>
      <c r="D168">
        <v>8</v>
      </c>
      <c r="E168" s="1">
        <v>42948</v>
      </c>
      <c r="F168">
        <v>133.19999999999999</v>
      </c>
      <c r="G168">
        <v>143.9</v>
      </c>
      <c r="H168">
        <v>128.30000000000001</v>
      </c>
      <c r="I168">
        <v>138.30000000000001</v>
      </c>
      <c r="J168">
        <v>114.1</v>
      </c>
      <c r="K168">
        <v>142.69999999999999</v>
      </c>
      <c r="L168">
        <v>179.8</v>
      </c>
      <c r="M168">
        <v>123.5</v>
      </c>
      <c r="N168">
        <v>122.1</v>
      </c>
      <c r="O168">
        <v>137.5</v>
      </c>
      <c r="P168">
        <v>124.6</v>
      </c>
      <c r="Q168">
        <v>144.5</v>
      </c>
      <c r="R168">
        <v>140.5</v>
      </c>
      <c r="S168">
        <v>152.1</v>
      </c>
      <c r="T168">
        <v>132.69999999999999</v>
      </c>
      <c r="U168">
        <v>124.3</v>
      </c>
      <c r="V168">
        <v>131.4</v>
      </c>
      <c r="W168">
        <v>134.4</v>
      </c>
      <c r="X168">
        <v>118.9</v>
      </c>
      <c r="Y168">
        <v>127.7</v>
      </c>
      <c r="Z168">
        <v>125.7</v>
      </c>
      <c r="AA168">
        <v>114.6</v>
      </c>
      <c r="AB168">
        <v>124.1</v>
      </c>
      <c r="AC168">
        <v>135.69999999999999</v>
      </c>
      <c r="AD168">
        <v>123.3</v>
      </c>
      <c r="AE168">
        <v>123.8</v>
      </c>
      <c r="AF168">
        <v>132.69999999999999</v>
      </c>
    </row>
    <row r="169" spans="1:32">
      <c r="A169" t="s">
        <v>35</v>
      </c>
      <c r="B169">
        <v>2017</v>
      </c>
      <c r="C169" t="s">
        <v>46</v>
      </c>
      <c r="D169">
        <v>8</v>
      </c>
      <c r="E169" s="1">
        <v>42948</v>
      </c>
      <c r="F169">
        <v>134.30000000000001</v>
      </c>
      <c r="G169">
        <v>143.4</v>
      </c>
      <c r="H169">
        <v>129.30000000000001</v>
      </c>
      <c r="I169">
        <v>139</v>
      </c>
      <c r="J169">
        <v>118.1</v>
      </c>
      <c r="K169">
        <v>145.5</v>
      </c>
      <c r="L169">
        <v>168.6</v>
      </c>
      <c r="M169">
        <v>132.69999999999999</v>
      </c>
      <c r="N169">
        <v>121.2</v>
      </c>
      <c r="O169">
        <v>135.6</v>
      </c>
      <c r="P169">
        <v>128.69999999999999</v>
      </c>
      <c r="Q169">
        <v>146.80000000000001</v>
      </c>
      <c r="R169">
        <v>140.6</v>
      </c>
      <c r="S169">
        <v>149.80000000000001</v>
      </c>
      <c r="T169">
        <v>140.30000000000001</v>
      </c>
      <c r="U169">
        <v>133</v>
      </c>
      <c r="V169">
        <v>139.30000000000001</v>
      </c>
      <c r="W169">
        <v>134.4</v>
      </c>
      <c r="X169">
        <v>129.80000000000001</v>
      </c>
      <c r="Y169">
        <v>132.80000000000001</v>
      </c>
      <c r="Z169">
        <v>130.19999999999999</v>
      </c>
      <c r="AA169">
        <v>117.3</v>
      </c>
      <c r="AB169">
        <v>127.3</v>
      </c>
      <c r="AC169">
        <v>137.6</v>
      </c>
      <c r="AD169">
        <v>124.5</v>
      </c>
      <c r="AE169">
        <v>126.8</v>
      </c>
      <c r="AF169">
        <v>135.4</v>
      </c>
    </row>
    <row r="170" spans="1:32">
      <c r="A170" t="s">
        <v>30</v>
      </c>
      <c r="B170">
        <v>2017</v>
      </c>
      <c r="C170" t="s">
        <v>48</v>
      </c>
      <c r="D170">
        <v>9</v>
      </c>
      <c r="E170" s="1">
        <v>42979</v>
      </c>
      <c r="F170">
        <v>135.19999999999999</v>
      </c>
      <c r="G170">
        <v>142</v>
      </c>
      <c r="H170">
        <v>130.5</v>
      </c>
      <c r="I170">
        <v>140.19999999999999</v>
      </c>
      <c r="J170">
        <v>120.7</v>
      </c>
      <c r="K170">
        <v>147.80000000000001</v>
      </c>
      <c r="L170">
        <v>154.5</v>
      </c>
      <c r="M170">
        <v>137.1</v>
      </c>
      <c r="N170">
        <v>121</v>
      </c>
      <c r="O170">
        <v>134.69999999999999</v>
      </c>
      <c r="P170">
        <v>131.69999999999999</v>
      </c>
      <c r="Q170">
        <v>149.30000000000001</v>
      </c>
      <c r="R170">
        <v>139.6</v>
      </c>
      <c r="S170">
        <v>149.80000000000001</v>
      </c>
      <c r="T170">
        <v>146.1</v>
      </c>
      <c r="U170">
        <v>139.69999999999999</v>
      </c>
      <c r="V170">
        <v>145.19999999999999</v>
      </c>
      <c r="X170">
        <v>137.4</v>
      </c>
      <c r="Y170">
        <v>137.9</v>
      </c>
      <c r="Z170">
        <v>133.4</v>
      </c>
      <c r="AA170">
        <v>121.2</v>
      </c>
      <c r="AB170">
        <v>132.30000000000001</v>
      </c>
      <c r="AC170">
        <v>139.6</v>
      </c>
      <c r="AD170">
        <v>126.7</v>
      </c>
      <c r="AE170">
        <v>130.30000000000001</v>
      </c>
      <c r="AF170">
        <v>137.6</v>
      </c>
    </row>
    <row r="171" spans="1:32">
      <c r="A171" t="s">
        <v>33</v>
      </c>
      <c r="B171">
        <v>2017</v>
      </c>
      <c r="C171" t="s">
        <v>48</v>
      </c>
      <c r="D171">
        <v>9</v>
      </c>
      <c r="E171" s="1">
        <v>42979</v>
      </c>
      <c r="F171">
        <v>133.6</v>
      </c>
      <c r="G171">
        <v>143</v>
      </c>
      <c r="H171">
        <v>129.69999999999999</v>
      </c>
      <c r="I171">
        <v>138.69999999999999</v>
      </c>
      <c r="J171">
        <v>114.5</v>
      </c>
      <c r="K171">
        <v>137.5</v>
      </c>
      <c r="L171">
        <v>160.69999999999999</v>
      </c>
      <c r="M171">
        <v>124.5</v>
      </c>
      <c r="N171">
        <v>122.4</v>
      </c>
      <c r="O171">
        <v>137.30000000000001</v>
      </c>
      <c r="P171">
        <v>124.8</v>
      </c>
      <c r="Q171">
        <v>145</v>
      </c>
      <c r="R171">
        <v>138</v>
      </c>
      <c r="S171">
        <v>153.6</v>
      </c>
      <c r="T171">
        <v>133.30000000000001</v>
      </c>
      <c r="U171">
        <v>124.6</v>
      </c>
      <c r="V171">
        <v>132</v>
      </c>
      <c r="W171">
        <v>135.69999999999999</v>
      </c>
      <c r="X171">
        <v>120.6</v>
      </c>
      <c r="Y171">
        <v>128.1</v>
      </c>
      <c r="Z171">
        <v>126.1</v>
      </c>
      <c r="AA171">
        <v>115.7</v>
      </c>
      <c r="AB171">
        <v>124.5</v>
      </c>
      <c r="AC171">
        <v>135.9</v>
      </c>
      <c r="AD171">
        <v>124.4</v>
      </c>
      <c r="AE171">
        <v>124.5</v>
      </c>
      <c r="AF171">
        <v>132.4</v>
      </c>
    </row>
    <row r="172" spans="1:32">
      <c r="A172" t="s">
        <v>35</v>
      </c>
      <c r="B172">
        <v>2017</v>
      </c>
      <c r="C172" t="s">
        <v>48</v>
      </c>
      <c r="D172">
        <v>9</v>
      </c>
      <c r="E172" s="1">
        <v>42979</v>
      </c>
      <c r="F172">
        <v>134.69999999999999</v>
      </c>
      <c r="G172">
        <v>142.4</v>
      </c>
      <c r="H172">
        <v>130.19999999999999</v>
      </c>
      <c r="I172">
        <v>139.6</v>
      </c>
      <c r="J172">
        <v>118.4</v>
      </c>
      <c r="K172">
        <v>143</v>
      </c>
      <c r="L172">
        <v>156.6</v>
      </c>
      <c r="M172">
        <v>132.9</v>
      </c>
      <c r="N172">
        <v>121.5</v>
      </c>
      <c r="O172">
        <v>135.6</v>
      </c>
      <c r="P172">
        <v>128.80000000000001</v>
      </c>
      <c r="Q172">
        <v>147.30000000000001</v>
      </c>
      <c r="R172">
        <v>139</v>
      </c>
      <c r="S172">
        <v>150.80000000000001</v>
      </c>
      <c r="T172">
        <v>141.1</v>
      </c>
      <c r="U172">
        <v>133.4</v>
      </c>
      <c r="V172">
        <v>140</v>
      </c>
      <c r="W172">
        <v>135.69999999999999</v>
      </c>
      <c r="X172">
        <v>131</v>
      </c>
      <c r="Y172">
        <v>133.30000000000001</v>
      </c>
      <c r="Z172">
        <v>130.6</v>
      </c>
      <c r="AA172">
        <v>118.3</v>
      </c>
      <c r="AB172">
        <v>127.9</v>
      </c>
      <c r="AC172">
        <v>137.4</v>
      </c>
      <c r="AD172">
        <v>125.7</v>
      </c>
      <c r="AE172">
        <v>127.5</v>
      </c>
      <c r="AF172">
        <v>135.19999999999999</v>
      </c>
    </row>
    <row r="173" spans="1:32">
      <c r="A173" t="s">
        <v>30</v>
      </c>
      <c r="B173">
        <v>2017</v>
      </c>
      <c r="C173" t="s">
        <v>50</v>
      </c>
      <c r="D173">
        <v>10</v>
      </c>
      <c r="E173" s="1">
        <v>43009</v>
      </c>
      <c r="F173">
        <v>135.9</v>
      </c>
      <c r="G173">
        <v>141.9</v>
      </c>
      <c r="H173">
        <v>131</v>
      </c>
      <c r="I173">
        <v>141.5</v>
      </c>
      <c r="J173">
        <v>121.4</v>
      </c>
      <c r="K173">
        <v>146.69999999999999</v>
      </c>
      <c r="L173">
        <v>157.1</v>
      </c>
      <c r="M173">
        <v>136.4</v>
      </c>
      <c r="N173">
        <v>121.4</v>
      </c>
      <c r="O173">
        <v>135.6</v>
      </c>
      <c r="P173">
        <v>131.30000000000001</v>
      </c>
      <c r="Q173">
        <v>150.30000000000001</v>
      </c>
      <c r="R173">
        <v>140.4</v>
      </c>
      <c r="S173">
        <v>150.5</v>
      </c>
      <c r="T173">
        <v>147.19999999999999</v>
      </c>
      <c r="U173">
        <v>140.6</v>
      </c>
      <c r="V173">
        <v>146.19999999999999</v>
      </c>
      <c r="X173">
        <v>138.1</v>
      </c>
      <c r="Y173">
        <v>138.4</v>
      </c>
      <c r="Z173">
        <v>134.19999999999999</v>
      </c>
      <c r="AA173">
        <v>121</v>
      </c>
      <c r="AB173">
        <v>133</v>
      </c>
      <c r="AC173">
        <v>140.1</v>
      </c>
      <c r="AD173">
        <v>127.4</v>
      </c>
      <c r="AE173">
        <v>130.69999999999999</v>
      </c>
      <c r="AF173">
        <v>138.30000000000001</v>
      </c>
    </row>
    <row r="174" spans="1:32">
      <c r="A174" t="s">
        <v>33</v>
      </c>
      <c r="B174">
        <v>2017</v>
      </c>
      <c r="C174" t="s">
        <v>50</v>
      </c>
      <c r="D174">
        <v>10</v>
      </c>
      <c r="E174" s="1">
        <v>43009</v>
      </c>
      <c r="F174">
        <v>133.9</v>
      </c>
      <c r="G174">
        <v>142.80000000000001</v>
      </c>
      <c r="H174">
        <v>131.4</v>
      </c>
      <c r="I174">
        <v>139.1</v>
      </c>
      <c r="J174">
        <v>114.9</v>
      </c>
      <c r="K174">
        <v>135.6</v>
      </c>
      <c r="L174">
        <v>173.2</v>
      </c>
      <c r="M174">
        <v>124.1</v>
      </c>
      <c r="N174">
        <v>122.6</v>
      </c>
      <c r="O174">
        <v>137.80000000000001</v>
      </c>
      <c r="P174">
        <v>125.1</v>
      </c>
      <c r="Q174">
        <v>145.5</v>
      </c>
      <c r="R174">
        <v>139.69999999999999</v>
      </c>
      <c r="S174">
        <v>154.6</v>
      </c>
      <c r="T174">
        <v>134</v>
      </c>
      <c r="U174">
        <v>124.9</v>
      </c>
      <c r="V174">
        <v>132.6</v>
      </c>
      <c r="W174">
        <v>137.30000000000001</v>
      </c>
      <c r="X174">
        <v>122.6</v>
      </c>
      <c r="Y174">
        <v>128.30000000000001</v>
      </c>
      <c r="Z174">
        <v>126.6</v>
      </c>
      <c r="AA174">
        <v>115</v>
      </c>
      <c r="AB174">
        <v>124.8</v>
      </c>
      <c r="AC174">
        <v>136.30000000000001</v>
      </c>
      <c r="AD174">
        <v>124.6</v>
      </c>
      <c r="AE174">
        <v>124.5</v>
      </c>
      <c r="AF174">
        <v>133.5</v>
      </c>
    </row>
    <row r="175" spans="1:32">
      <c r="A175" t="s">
        <v>35</v>
      </c>
      <c r="B175">
        <v>2017</v>
      </c>
      <c r="C175" t="s">
        <v>50</v>
      </c>
      <c r="D175">
        <v>10</v>
      </c>
      <c r="E175" s="1">
        <v>43009</v>
      </c>
      <c r="F175">
        <v>135.30000000000001</v>
      </c>
      <c r="G175">
        <v>142.19999999999999</v>
      </c>
      <c r="H175">
        <v>131.19999999999999</v>
      </c>
      <c r="I175">
        <v>140.6</v>
      </c>
      <c r="J175">
        <v>119</v>
      </c>
      <c r="K175">
        <v>141.5</v>
      </c>
      <c r="L175">
        <v>162.6</v>
      </c>
      <c r="M175">
        <v>132.30000000000001</v>
      </c>
      <c r="N175">
        <v>121.8</v>
      </c>
      <c r="O175">
        <v>136.30000000000001</v>
      </c>
      <c r="P175">
        <v>128.69999999999999</v>
      </c>
      <c r="Q175">
        <v>148.1</v>
      </c>
      <c r="R175">
        <v>140.1</v>
      </c>
      <c r="S175">
        <v>151.6</v>
      </c>
      <c r="T175">
        <v>142</v>
      </c>
      <c r="U175">
        <v>134.1</v>
      </c>
      <c r="V175">
        <v>140.80000000000001</v>
      </c>
      <c r="W175">
        <v>137.30000000000001</v>
      </c>
      <c r="X175">
        <v>132.19999999999999</v>
      </c>
      <c r="Y175">
        <v>133.6</v>
      </c>
      <c r="Z175">
        <v>131.30000000000001</v>
      </c>
      <c r="AA175">
        <v>117.8</v>
      </c>
      <c r="AB175">
        <v>128.4</v>
      </c>
      <c r="AC175">
        <v>137.9</v>
      </c>
      <c r="AD175">
        <v>126.2</v>
      </c>
      <c r="AE175">
        <v>127.7</v>
      </c>
      <c r="AF175">
        <v>136.1</v>
      </c>
    </row>
    <row r="176" spans="1:32">
      <c r="A176" t="s">
        <v>30</v>
      </c>
      <c r="B176">
        <v>2017</v>
      </c>
      <c r="C176" t="s">
        <v>53</v>
      </c>
      <c r="D176">
        <v>11</v>
      </c>
      <c r="E176" s="1">
        <v>43040</v>
      </c>
      <c r="F176">
        <v>136.30000000000001</v>
      </c>
      <c r="G176">
        <v>142.5</v>
      </c>
      <c r="H176">
        <v>140.5</v>
      </c>
      <c r="I176">
        <v>141.5</v>
      </c>
      <c r="J176">
        <v>121.6</v>
      </c>
      <c r="K176">
        <v>147.30000000000001</v>
      </c>
      <c r="L176">
        <v>168</v>
      </c>
      <c r="M176">
        <v>135.80000000000001</v>
      </c>
      <c r="N176">
        <v>122.5</v>
      </c>
      <c r="O176">
        <v>136</v>
      </c>
      <c r="P176">
        <v>131.9</v>
      </c>
      <c r="Q176">
        <v>151.4</v>
      </c>
      <c r="R176">
        <v>142.4</v>
      </c>
      <c r="S176">
        <v>152.1</v>
      </c>
      <c r="T176">
        <v>148.19999999999999</v>
      </c>
      <c r="U176">
        <v>141.5</v>
      </c>
      <c r="V176">
        <v>147.30000000000001</v>
      </c>
      <c r="X176">
        <v>141.1</v>
      </c>
      <c r="Y176">
        <v>139.4</v>
      </c>
      <c r="Z176">
        <v>135.80000000000001</v>
      </c>
      <c r="AA176">
        <v>121.6</v>
      </c>
      <c r="AB176">
        <v>133.69999999999999</v>
      </c>
      <c r="AC176">
        <v>141.5</v>
      </c>
      <c r="AD176">
        <v>128.1</v>
      </c>
      <c r="AE176">
        <v>131.69999999999999</v>
      </c>
      <c r="AF176">
        <v>140</v>
      </c>
    </row>
    <row r="177" spans="1:32">
      <c r="A177" t="s">
        <v>33</v>
      </c>
      <c r="B177">
        <v>2017</v>
      </c>
      <c r="C177" t="s">
        <v>53</v>
      </c>
      <c r="D177">
        <v>11</v>
      </c>
      <c r="E177" s="1">
        <v>43040</v>
      </c>
      <c r="F177">
        <v>134.30000000000001</v>
      </c>
      <c r="G177">
        <v>142.1</v>
      </c>
      <c r="H177">
        <v>146.69999999999999</v>
      </c>
      <c r="I177">
        <v>139.5</v>
      </c>
      <c r="J177">
        <v>115.2</v>
      </c>
      <c r="K177">
        <v>136.4</v>
      </c>
      <c r="L177">
        <v>185.2</v>
      </c>
      <c r="M177">
        <v>122.2</v>
      </c>
      <c r="N177">
        <v>123.9</v>
      </c>
      <c r="O177">
        <v>138.30000000000001</v>
      </c>
      <c r="P177">
        <v>125.4</v>
      </c>
      <c r="Q177">
        <v>146</v>
      </c>
      <c r="R177">
        <v>141.5</v>
      </c>
      <c r="S177">
        <v>156.19999999999999</v>
      </c>
      <c r="T177">
        <v>135</v>
      </c>
      <c r="U177">
        <v>125.4</v>
      </c>
      <c r="V177">
        <v>133.5</v>
      </c>
      <c r="W177">
        <v>138.6</v>
      </c>
      <c r="X177">
        <v>125.7</v>
      </c>
      <c r="Y177">
        <v>128.80000000000001</v>
      </c>
      <c r="Z177">
        <v>127.4</v>
      </c>
      <c r="AA177">
        <v>115.3</v>
      </c>
      <c r="AB177">
        <v>125.1</v>
      </c>
      <c r="AC177">
        <v>136.6</v>
      </c>
      <c r="AD177">
        <v>124.9</v>
      </c>
      <c r="AE177">
        <v>124.9</v>
      </c>
      <c r="AF177">
        <v>134.80000000000001</v>
      </c>
    </row>
    <row r="178" spans="1:32">
      <c r="A178" t="s">
        <v>35</v>
      </c>
      <c r="B178">
        <v>2017</v>
      </c>
      <c r="C178" t="s">
        <v>53</v>
      </c>
      <c r="D178">
        <v>11</v>
      </c>
      <c r="E178" s="1">
        <v>43040</v>
      </c>
      <c r="F178">
        <v>135.69999999999999</v>
      </c>
      <c r="G178">
        <v>142.4</v>
      </c>
      <c r="H178">
        <v>142.9</v>
      </c>
      <c r="I178">
        <v>140.80000000000001</v>
      </c>
      <c r="J178">
        <v>119.2</v>
      </c>
      <c r="K178">
        <v>142.19999999999999</v>
      </c>
      <c r="L178">
        <v>173.8</v>
      </c>
      <c r="M178">
        <v>131.19999999999999</v>
      </c>
      <c r="N178">
        <v>123</v>
      </c>
      <c r="O178">
        <v>136.80000000000001</v>
      </c>
      <c r="P178">
        <v>129.19999999999999</v>
      </c>
      <c r="Q178">
        <v>148.9</v>
      </c>
      <c r="R178">
        <v>142.1</v>
      </c>
      <c r="S178">
        <v>153.19999999999999</v>
      </c>
      <c r="T178">
        <v>143</v>
      </c>
      <c r="U178">
        <v>134.80000000000001</v>
      </c>
      <c r="V178">
        <v>141.80000000000001</v>
      </c>
      <c r="W178">
        <v>138.6</v>
      </c>
      <c r="X178">
        <v>135.30000000000001</v>
      </c>
      <c r="Y178">
        <v>134.4</v>
      </c>
      <c r="Z178">
        <v>132.6</v>
      </c>
      <c r="AA178">
        <v>118.3</v>
      </c>
      <c r="AB178">
        <v>128.9</v>
      </c>
      <c r="AC178">
        <v>138.6</v>
      </c>
      <c r="AD178">
        <v>126.8</v>
      </c>
      <c r="AE178">
        <v>128.4</v>
      </c>
      <c r="AF178">
        <v>137.6</v>
      </c>
    </row>
    <row r="179" spans="1:32">
      <c r="A179" t="s">
        <v>30</v>
      </c>
      <c r="B179">
        <v>2017</v>
      </c>
      <c r="C179" t="s">
        <v>55</v>
      </c>
      <c r="D179">
        <v>12</v>
      </c>
      <c r="E179" s="1">
        <v>43070</v>
      </c>
      <c r="F179">
        <v>136.4</v>
      </c>
      <c r="G179">
        <v>143.69999999999999</v>
      </c>
      <c r="H179">
        <v>144.80000000000001</v>
      </c>
      <c r="I179">
        <v>141.9</v>
      </c>
      <c r="J179">
        <v>123.1</v>
      </c>
      <c r="K179">
        <v>147.19999999999999</v>
      </c>
      <c r="L179">
        <v>161</v>
      </c>
      <c r="M179">
        <v>133.80000000000001</v>
      </c>
      <c r="N179">
        <v>121.9</v>
      </c>
      <c r="O179">
        <v>135.80000000000001</v>
      </c>
      <c r="P179">
        <v>131.1</v>
      </c>
      <c r="Q179">
        <v>151.4</v>
      </c>
      <c r="R179">
        <v>141.5</v>
      </c>
      <c r="S179">
        <v>153.19999999999999</v>
      </c>
      <c r="T179">
        <v>148</v>
      </c>
      <c r="U179">
        <v>141.9</v>
      </c>
      <c r="V179">
        <v>147.19999999999999</v>
      </c>
      <c r="X179">
        <v>142.6</v>
      </c>
      <c r="Y179">
        <v>139.5</v>
      </c>
      <c r="Z179">
        <v>136.1</v>
      </c>
      <c r="AA179">
        <v>122</v>
      </c>
      <c r="AB179">
        <v>133.4</v>
      </c>
      <c r="AC179">
        <v>141.1</v>
      </c>
      <c r="AD179">
        <v>127.8</v>
      </c>
      <c r="AE179">
        <v>131.9</v>
      </c>
      <c r="AF179">
        <v>139.80000000000001</v>
      </c>
    </row>
    <row r="180" spans="1:32">
      <c r="A180" t="s">
        <v>33</v>
      </c>
      <c r="B180">
        <v>2017</v>
      </c>
      <c r="C180" t="s">
        <v>55</v>
      </c>
      <c r="D180">
        <v>12</v>
      </c>
      <c r="E180" s="1">
        <v>43070</v>
      </c>
      <c r="F180">
        <v>134.4</v>
      </c>
      <c r="G180">
        <v>142.6</v>
      </c>
      <c r="H180">
        <v>145.9</v>
      </c>
      <c r="I180">
        <v>139.5</v>
      </c>
      <c r="J180">
        <v>115.9</v>
      </c>
      <c r="K180">
        <v>135</v>
      </c>
      <c r="L180">
        <v>163.19999999999999</v>
      </c>
      <c r="M180">
        <v>119.8</v>
      </c>
      <c r="N180">
        <v>120.7</v>
      </c>
      <c r="O180">
        <v>139.69999999999999</v>
      </c>
      <c r="P180">
        <v>125.7</v>
      </c>
      <c r="Q180">
        <v>146.30000000000001</v>
      </c>
      <c r="R180">
        <v>138.80000000000001</v>
      </c>
      <c r="S180">
        <v>157</v>
      </c>
      <c r="T180">
        <v>135.6</v>
      </c>
      <c r="U180">
        <v>125.6</v>
      </c>
      <c r="V180">
        <v>134</v>
      </c>
      <c r="W180">
        <v>139.1</v>
      </c>
      <c r="X180">
        <v>126.8</v>
      </c>
      <c r="Y180">
        <v>129.30000000000001</v>
      </c>
      <c r="Z180">
        <v>128.19999999999999</v>
      </c>
      <c r="AA180">
        <v>115.3</v>
      </c>
      <c r="AB180">
        <v>125.6</v>
      </c>
      <c r="AC180">
        <v>136.69999999999999</v>
      </c>
      <c r="AD180">
        <v>124.6</v>
      </c>
      <c r="AE180">
        <v>125.1</v>
      </c>
      <c r="AF180">
        <v>134.1</v>
      </c>
    </row>
    <row r="181" spans="1:32">
      <c r="A181" t="s">
        <v>35</v>
      </c>
      <c r="B181">
        <v>2017</v>
      </c>
      <c r="C181" t="s">
        <v>55</v>
      </c>
      <c r="D181">
        <v>12</v>
      </c>
      <c r="E181" s="1">
        <v>43070</v>
      </c>
      <c r="F181">
        <v>135.80000000000001</v>
      </c>
      <c r="G181">
        <v>143.30000000000001</v>
      </c>
      <c r="H181">
        <v>145.19999999999999</v>
      </c>
      <c r="I181">
        <v>141</v>
      </c>
      <c r="J181">
        <v>120.5</v>
      </c>
      <c r="K181">
        <v>141.5</v>
      </c>
      <c r="L181">
        <v>161.69999999999999</v>
      </c>
      <c r="M181">
        <v>129.1</v>
      </c>
      <c r="N181">
        <v>121.5</v>
      </c>
      <c r="O181">
        <v>137.1</v>
      </c>
      <c r="P181">
        <v>128.80000000000001</v>
      </c>
      <c r="Q181">
        <v>149</v>
      </c>
      <c r="R181">
        <v>140.5</v>
      </c>
      <c r="S181">
        <v>154.19999999999999</v>
      </c>
      <c r="T181">
        <v>143.1</v>
      </c>
      <c r="U181">
        <v>135.1</v>
      </c>
      <c r="V181">
        <v>142</v>
      </c>
      <c r="W181">
        <v>139.1</v>
      </c>
      <c r="X181">
        <v>136.6</v>
      </c>
      <c r="Y181">
        <v>134.69999999999999</v>
      </c>
      <c r="Z181">
        <v>133.1</v>
      </c>
      <c r="AA181">
        <v>118.5</v>
      </c>
      <c r="AB181">
        <v>129</v>
      </c>
      <c r="AC181">
        <v>138.5</v>
      </c>
      <c r="AD181">
        <v>126.5</v>
      </c>
      <c r="AE181">
        <v>128.6</v>
      </c>
      <c r="AF181">
        <v>137.19999999999999</v>
      </c>
    </row>
    <row r="182" spans="1:32">
      <c r="A182" t="s">
        <v>30</v>
      </c>
      <c r="B182">
        <v>2018</v>
      </c>
      <c r="C182" t="s">
        <v>31</v>
      </c>
      <c r="D182">
        <v>1</v>
      </c>
      <c r="E182" s="1">
        <v>43101</v>
      </c>
      <c r="F182">
        <v>136.6</v>
      </c>
      <c r="G182">
        <v>144.4</v>
      </c>
      <c r="H182">
        <v>143.80000000000001</v>
      </c>
      <c r="I182">
        <v>142</v>
      </c>
      <c r="J182">
        <v>123.2</v>
      </c>
      <c r="K182">
        <v>147.9</v>
      </c>
      <c r="L182">
        <v>152.1</v>
      </c>
      <c r="M182">
        <v>131.80000000000001</v>
      </c>
      <c r="N182">
        <v>119.5</v>
      </c>
      <c r="O182">
        <v>136</v>
      </c>
      <c r="P182">
        <v>131.19999999999999</v>
      </c>
      <c r="Q182">
        <v>151.80000000000001</v>
      </c>
      <c r="R182">
        <v>140.4</v>
      </c>
      <c r="S182">
        <v>153.6</v>
      </c>
      <c r="T182">
        <v>148.30000000000001</v>
      </c>
      <c r="U182">
        <v>142.30000000000001</v>
      </c>
      <c r="V182">
        <v>147.5</v>
      </c>
      <c r="X182">
        <v>142.30000000000001</v>
      </c>
      <c r="Y182">
        <v>139.80000000000001</v>
      </c>
      <c r="Z182">
        <v>136</v>
      </c>
      <c r="AA182">
        <v>122.7</v>
      </c>
      <c r="AB182">
        <v>134.30000000000001</v>
      </c>
      <c r="AC182">
        <v>141.6</v>
      </c>
      <c r="AD182">
        <v>128.6</v>
      </c>
      <c r="AE182">
        <v>132.30000000000001</v>
      </c>
      <c r="AF182">
        <v>139.30000000000001</v>
      </c>
    </row>
    <row r="183" spans="1:32">
      <c r="A183" t="s">
        <v>33</v>
      </c>
      <c r="B183">
        <v>2018</v>
      </c>
      <c r="C183" t="s">
        <v>31</v>
      </c>
      <c r="D183">
        <v>1</v>
      </c>
      <c r="E183" s="1">
        <v>43101</v>
      </c>
      <c r="F183">
        <v>134.6</v>
      </c>
      <c r="G183">
        <v>143.69999999999999</v>
      </c>
      <c r="H183">
        <v>143.6</v>
      </c>
      <c r="I183">
        <v>139.6</v>
      </c>
      <c r="J183">
        <v>116.4</v>
      </c>
      <c r="K183">
        <v>133.80000000000001</v>
      </c>
      <c r="L183">
        <v>150.5</v>
      </c>
      <c r="M183">
        <v>118.4</v>
      </c>
      <c r="N183">
        <v>117.3</v>
      </c>
      <c r="O183">
        <v>140.5</v>
      </c>
      <c r="P183">
        <v>125.9</v>
      </c>
      <c r="Q183">
        <v>146.80000000000001</v>
      </c>
      <c r="R183">
        <v>137.19999999999999</v>
      </c>
      <c r="S183">
        <v>157.69999999999999</v>
      </c>
      <c r="T183">
        <v>136</v>
      </c>
      <c r="U183">
        <v>125.9</v>
      </c>
      <c r="V183">
        <v>134.4</v>
      </c>
      <c r="W183">
        <v>140.4</v>
      </c>
      <c r="X183">
        <v>127.3</v>
      </c>
      <c r="Y183">
        <v>129.5</v>
      </c>
      <c r="Z183">
        <v>129</v>
      </c>
      <c r="AA183">
        <v>116.3</v>
      </c>
      <c r="AB183">
        <v>126.2</v>
      </c>
      <c r="AC183">
        <v>137.1</v>
      </c>
      <c r="AD183">
        <v>125.5</v>
      </c>
      <c r="AE183">
        <v>125.8</v>
      </c>
      <c r="AF183">
        <v>134.1</v>
      </c>
    </row>
    <row r="184" spans="1:32">
      <c r="A184" t="s">
        <v>35</v>
      </c>
      <c r="B184">
        <v>2018</v>
      </c>
      <c r="C184" t="s">
        <v>31</v>
      </c>
      <c r="D184">
        <v>1</v>
      </c>
      <c r="E184" s="1">
        <v>43101</v>
      </c>
      <c r="F184">
        <v>136</v>
      </c>
      <c r="G184">
        <v>144.19999999999999</v>
      </c>
      <c r="H184">
        <v>143.69999999999999</v>
      </c>
      <c r="I184">
        <v>141.1</v>
      </c>
      <c r="J184">
        <v>120.7</v>
      </c>
      <c r="K184">
        <v>141.30000000000001</v>
      </c>
      <c r="L184">
        <v>151.6</v>
      </c>
      <c r="M184">
        <v>127.3</v>
      </c>
      <c r="N184">
        <v>118.8</v>
      </c>
      <c r="O184">
        <v>137.5</v>
      </c>
      <c r="P184">
        <v>129</v>
      </c>
      <c r="Q184">
        <v>149.5</v>
      </c>
      <c r="R184">
        <v>139.19999999999999</v>
      </c>
      <c r="S184">
        <v>154.69999999999999</v>
      </c>
      <c r="T184">
        <v>143.5</v>
      </c>
      <c r="U184">
        <v>135.5</v>
      </c>
      <c r="V184">
        <v>142.30000000000001</v>
      </c>
      <c r="W184">
        <v>140.4</v>
      </c>
      <c r="X184">
        <v>136.6</v>
      </c>
      <c r="Y184">
        <v>134.9</v>
      </c>
      <c r="Z184">
        <v>133.30000000000001</v>
      </c>
      <c r="AA184">
        <v>119.3</v>
      </c>
      <c r="AB184">
        <v>129.69999999999999</v>
      </c>
      <c r="AC184">
        <v>139</v>
      </c>
      <c r="AD184">
        <v>127.3</v>
      </c>
      <c r="AE184">
        <v>129.1</v>
      </c>
      <c r="AF184">
        <v>136.9</v>
      </c>
    </row>
    <row r="185" spans="1:32">
      <c r="A185" t="s">
        <v>30</v>
      </c>
      <c r="B185">
        <v>2018</v>
      </c>
      <c r="C185" t="s">
        <v>36</v>
      </c>
      <c r="D185">
        <v>2</v>
      </c>
      <c r="E185" s="1">
        <v>43132</v>
      </c>
      <c r="F185">
        <v>136.4</v>
      </c>
      <c r="G185">
        <v>143.69999999999999</v>
      </c>
      <c r="H185">
        <v>140.6</v>
      </c>
      <c r="I185">
        <v>141.5</v>
      </c>
      <c r="J185">
        <v>122.9</v>
      </c>
      <c r="K185">
        <v>149.4</v>
      </c>
      <c r="L185">
        <v>142.4</v>
      </c>
      <c r="M185">
        <v>130.19999999999999</v>
      </c>
      <c r="N185">
        <v>117.9</v>
      </c>
      <c r="O185">
        <v>135.6</v>
      </c>
      <c r="P185">
        <v>130.5</v>
      </c>
      <c r="Q185">
        <v>151.69999999999999</v>
      </c>
      <c r="R185">
        <v>138.69999999999999</v>
      </c>
      <c r="S185">
        <v>153.30000000000001</v>
      </c>
      <c r="T185">
        <v>148.69999999999999</v>
      </c>
      <c r="U185">
        <v>142.4</v>
      </c>
      <c r="V185">
        <v>147.80000000000001</v>
      </c>
      <c r="X185">
        <v>142.4</v>
      </c>
      <c r="Y185">
        <v>139.9</v>
      </c>
      <c r="Z185">
        <v>136.19999999999999</v>
      </c>
      <c r="AA185">
        <v>123.3</v>
      </c>
      <c r="AB185">
        <v>134.30000000000001</v>
      </c>
      <c r="AC185">
        <v>141.5</v>
      </c>
      <c r="AD185">
        <v>128.80000000000001</v>
      </c>
      <c r="AE185">
        <v>132.5</v>
      </c>
      <c r="AF185">
        <v>138.5</v>
      </c>
    </row>
    <row r="186" spans="1:32">
      <c r="A186" t="s">
        <v>33</v>
      </c>
      <c r="B186">
        <v>2018</v>
      </c>
      <c r="C186" t="s">
        <v>36</v>
      </c>
      <c r="D186">
        <v>2</v>
      </c>
      <c r="E186" s="1">
        <v>43132</v>
      </c>
      <c r="F186">
        <v>134.80000000000001</v>
      </c>
      <c r="G186">
        <v>143</v>
      </c>
      <c r="H186">
        <v>139.9</v>
      </c>
      <c r="I186">
        <v>139.9</v>
      </c>
      <c r="J186">
        <v>116.2</v>
      </c>
      <c r="K186">
        <v>135.5</v>
      </c>
      <c r="L186">
        <v>136.9</v>
      </c>
      <c r="M186">
        <v>117</v>
      </c>
      <c r="N186">
        <v>115.4</v>
      </c>
      <c r="O186">
        <v>140.69999999999999</v>
      </c>
      <c r="P186">
        <v>125.9</v>
      </c>
      <c r="Q186">
        <v>147.1</v>
      </c>
      <c r="R186">
        <v>135.6</v>
      </c>
      <c r="S186">
        <v>159.30000000000001</v>
      </c>
      <c r="T186">
        <v>136.30000000000001</v>
      </c>
      <c r="U186">
        <v>126.1</v>
      </c>
      <c r="V186">
        <v>134.69999999999999</v>
      </c>
      <c r="W186">
        <v>141.30000000000001</v>
      </c>
      <c r="X186">
        <v>127.3</v>
      </c>
      <c r="Y186">
        <v>129.9</v>
      </c>
      <c r="Z186">
        <v>129.80000000000001</v>
      </c>
      <c r="AA186">
        <v>117.4</v>
      </c>
      <c r="AB186">
        <v>126.5</v>
      </c>
      <c r="AC186">
        <v>137.19999999999999</v>
      </c>
      <c r="AD186">
        <v>126.2</v>
      </c>
      <c r="AE186">
        <v>126.5</v>
      </c>
      <c r="AF186">
        <v>134</v>
      </c>
    </row>
    <row r="187" spans="1:32">
      <c r="A187" t="s">
        <v>35</v>
      </c>
      <c r="B187">
        <v>2018</v>
      </c>
      <c r="C187" t="s">
        <v>36</v>
      </c>
      <c r="D187">
        <v>2</v>
      </c>
      <c r="E187" s="1">
        <v>43132</v>
      </c>
      <c r="F187">
        <v>135.9</v>
      </c>
      <c r="G187">
        <v>143.5</v>
      </c>
      <c r="H187">
        <v>140.30000000000001</v>
      </c>
      <c r="I187">
        <v>140.9</v>
      </c>
      <c r="J187">
        <v>120.4</v>
      </c>
      <c r="K187">
        <v>142.9</v>
      </c>
      <c r="L187">
        <v>140.5</v>
      </c>
      <c r="M187">
        <v>125.8</v>
      </c>
      <c r="N187">
        <v>117.1</v>
      </c>
      <c r="O187">
        <v>137.30000000000001</v>
      </c>
      <c r="P187">
        <v>128.6</v>
      </c>
      <c r="Q187">
        <v>149.6</v>
      </c>
      <c r="R187">
        <v>137.6</v>
      </c>
      <c r="S187">
        <v>154.9</v>
      </c>
      <c r="T187">
        <v>143.80000000000001</v>
      </c>
      <c r="U187">
        <v>135.6</v>
      </c>
      <c r="V187">
        <v>142.6</v>
      </c>
      <c r="W187">
        <v>141.30000000000001</v>
      </c>
      <c r="X187">
        <v>136.69999999999999</v>
      </c>
      <c r="Y187">
        <v>135.19999999999999</v>
      </c>
      <c r="Z187">
        <v>133.80000000000001</v>
      </c>
      <c r="AA187">
        <v>120.2</v>
      </c>
      <c r="AB187">
        <v>129.9</v>
      </c>
      <c r="AC187">
        <v>139</v>
      </c>
      <c r="AD187">
        <v>127.7</v>
      </c>
      <c r="AE187">
        <v>129.6</v>
      </c>
      <c r="AF187">
        <v>136.4</v>
      </c>
    </row>
    <row r="188" spans="1:32">
      <c r="A188" t="s">
        <v>30</v>
      </c>
      <c r="B188">
        <v>2018</v>
      </c>
      <c r="C188" t="s">
        <v>38</v>
      </c>
      <c r="D188">
        <v>3</v>
      </c>
      <c r="E188" s="1">
        <v>43160</v>
      </c>
      <c r="F188">
        <v>136.80000000000001</v>
      </c>
      <c r="G188">
        <v>143.80000000000001</v>
      </c>
      <c r="H188">
        <v>140</v>
      </c>
      <c r="I188">
        <v>142</v>
      </c>
      <c r="J188">
        <v>123.2</v>
      </c>
      <c r="K188">
        <v>152.9</v>
      </c>
      <c r="L188">
        <v>138</v>
      </c>
      <c r="M188">
        <v>129.30000000000001</v>
      </c>
      <c r="N188">
        <v>117.1</v>
      </c>
      <c r="O188">
        <v>136.30000000000001</v>
      </c>
      <c r="P188">
        <v>131.19999999999999</v>
      </c>
      <c r="Q188">
        <v>152.80000000000001</v>
      </c>
      <c r="R188">
        <v>138.6</v>
      </c>
      <c r="S188">
        <v>155.1</v>
      </c>
      <c r="T188">
        <v>149.19999999999999</v>
      </c>
      <c r="U188">
        <v>143</v>
      </c>
      <c r="V188">
        <v>148.30000000000001</v>
      </c>
      <c r="X188">
        <v>142.6</v>
      </c>
      <c r="Y188">
        <v>139.9</v>
      </c>
      <c r="Z188">
        <v>136.69999999999999</v>
      </c>
      <c r="AA188">
        <v>124.6</v>
      </c>
      <c r="AB188">
        <v>135.1</v>
      </c>
      <c r="AC188">
        <v>142.69999999999999</v>
      </c>
      <c r="AD188">
        <v>129.30000000000001</v>
      </c>
      <c r="AE188">
        <v>133.30000000000001</v>
      </c>
      <c r="AF188">
        <v>138.69999999999999</v>
      </c>
    </row>
    <row r="189" spans="1:32">
      <c r="A189" t="s">
        <v>33</v>
      </c>
      <c r="B189">
        <v>2018</v>
      </c>
      <c r="C189" t="s">
        <v>38</v>
      </c>
      <c r="D189">
        <v>3</v>
      </c>
      <c r="E189" s="1">
        <v>43160</v>
      </c>
      <c r="F189">
        <v>135</v>
      </c>
      <c r="G189">
        <v>143.1</v>
      </c>
      <c r="H189">
        <v>135.5</v>
      </c>
      <c r="I189">
        <v>139.9</v>
      </c>
      <c r="J189">
        <v>116.5</v>
      </c>
      <c r="K189">
        <v>138.5</v>
      </c>
      <c r="L189">
        <v>128</v>
      </c>
      <c r="M189">
        <v>115.5</v>
      </c>
      <c r="N189">
        <v>114.2</v>
      </c>
      <c r="O189">
        <v>140.69999999999999</v>
      </c>
      <c r="P189">
        <v>126.2</v>
      </c>
      <c r="Q189">
        <v>147.6</v>
      </c>
      <c r="R189">
        <v>134.80000000000001</v>
      </c>
      <c r="S189">
        <v>159.69999999999999</v>
      </c>
      <c r="T189">
        <v>136.69999999999999</v>
      </c>
      <c r="U189">
        <v>126.7</v>
      </c>
      <c r="V189">
        <v>135.19999999999999</v>
      </c>
      <c r="W189">
        <v>142</v>
      </c>
      <c r="X189">
        <v>126.4</v>
      </c>
      <c r="Y189">
        <v>130.80000000000001</v>
      </c>
      <c r="Z189">
        <v>130.5</v>
      </c>
      <c r="AA189">
        <v>117.8</v>
      </c>
      <c r="AB189">
        <v>126.8</v>
      </c>
      <c r="AC189">
        <v>137.80000000000001</v>
      </c>
      <c r="AD189">
        <v>126.7</v>
      </c>
      <c r="AE189">
        <v>127.1</v>
      </c>
      <c r="AF189">
        <v>134</v>
      </c>
    </row>
    <row r="190" spans="1:32">
      <c r="A190" t="s">
        <v>35</v>
      </c>
      <c r="B190">
        <v>2018</v>
      </c>
      <c r="C190" t="s">
        <v>38</v>
      </c>
      <c r="D190">
        <v>3</v>
      </c>
      <c r="E190" s="1">
        <v>43160</v>
      </c>
      <c r="F190">
        <v>136.19999999999999</v>
      </c>
      <c r="G190">
        <v>143.6</v>
      </c>
      <c r="H190">
        <v>138.30000000000001</v>
      </c>
      <c r="I190">
        <v>141.19999999999999</v>
      </c>
      <c r="J190">
        <v>120.7</v>
      </c>
      <c r="K190">
        <v>146.19999999999999</v>
      </c>
      <c r="L190">
        <v>134.6</v>
      </c>
      <c r="M190">
        <v>124.6</v>
      </c>
      <c r="N190">
        <v>116.1</v>
      </c>
      <c r="O190">
        <v>137.80000000000001</v>
      </c>
      <c r="P190">
        <v>129.1</v>
      </c>
      <c r="Q190">
        <v>150.4</v>
      </c>
      <c r="R190">
        <v>137.19999999999999</v>
      </c>
      <c r="S190">
        <v>156.30000000000001</v>
      </c>
      <c r="T190">
        <v>144.30000000000001</v>
      </c>
      <c r="U190">
        <v>136.19999999999999</v>
      </c>
      <c r="V190">
        <v>143.1</v>
      </c>
      <c r="W190">
        <v>142</v>
      </c>
      <c r="X190">
        <v>136.5</v>
      </c>
      <c r="Y190">
        <v>135.6</v>
      </c>
      <c r="Z190">
        <v>134.30000000000001</v>
      </c>
      <c r="AA190">
        <v>121</v>
      </c>
      <c r="AB190">
        <v>130.4</v>
      </c>
      <c r="AC190">
        <v>139.80000000000001</v>
      </c>
      <c r="AD190">
        <v>128.19999999999999</v>
      </c>
      <c r="AE190">
        <v>130.30000000000001</v>
      </c>
      <c r="AF190">
        <v>136.5</v>
      </c>
    </row>
    <row r="191" spans="1:32">
      <c r="A191" t="s">
        <v>30</v>
      </c>
      <c r="B191">
        <v>2018</v>
      </c>
      <c r="C191" t="s">
        <v>39</v>
      </c>
      <c r="D191">
        <v>4</v>
      </c>
      <c r="E191" s="1">
        <v>43191</v>
      </c>
      <c r="F191">
        <v>137.1</v>
      </c>
      <c r="G191">
        <v>144.5</v>
      </c>
      <c r="H191">
        <v>135.9</v>
      </c>
      <c r="I191">
        <v>142.4</v>
      </c>
      <c r="J191">
        <v>123.5</v>
      </c>
      <c r="K191">
        <v>156.4</v>
      </c>
      <c r="L191">
        <v>135.1</v>
      </c>
      <c r="M191">
        <v>128.4</v>
      </c>
      <c r="N191">
        <v>115.2</v>
      </c>
      <c r="O191">
        <v>137.19999999999999</v>
      </c>
      <c r="P191">
        <v>131.9</v>
      </c>
      <c r="Q191">
        <v>153.80000000000001</v>
      </c>
      <c r="R191">
        <v>138.6</v>
      </c>
      <c r="S191">
        <v>156.1</v>
      </c>
      <c r="T191">
        <v>150.1</v>
      </c>
      <c r="U191">
        <v>143.30000000000001</v>
      </c>
      <c r="V191">
        <v>149.1</v>
      </c>
      <c r="X191">
        <v>143.80000000000001</v>
      </c>
      <c r="Y191">
        <v>140.9</v>
      </c>
      <c r="Z191">
        <v>137.6</v>
      </c>
      <c r="AA191">
        <v>125.3</v>
      </c>
      <c r="AB191">
        <v>136</v>
      </c>
      <c r="AC191">
        <v>143.69999999999999</v>
      </c>
      <c r="AD191">
        <v>130.4</v>
      </c>
      <c r="AE191">
        <v>134.19999999999999</v>
      </c>
      <c r="AF191">
        <v>139.1</v>
      </c>
    </row>
    <row r="192" spans="1:32">
      <c r="A192" t="s">
        <v>33</v>
      </c>
      <c r="B192">
        <v>2018</v>
      </c>
      <c r="C192" t="s">
        <v>39</v>
      </c>
      <c r="D192">
        <v>4</v>
      </c>
      <c r="E192" s="1">
        <v>43191</v>
      </c>
      <c r="F192">
        <v>135</v>
      </c>
      <c r="G192">
        <v>144.30000000000001</v>
      </c>
      <c r="H192">
        <v>130.80000000000001</v>
      </c>
      <c r="I192">
        <v>140.30000000000001</v>
      </c>
      <c r="J192">
        <v>116.6</v>
      </c>
      <c r="K192">
        <v>150.1</v>
      </c>
      <c r="L192">
        <v>127.6</v>
      </c>
      <c r="M192">
        <v>114</v>
      </c>
      <c r="N192">
        <v>110.6</v>
      </c>
      <c r="O192">
        <v>140.19999999999999</v>
      </c>
      <c r="P192">
        <v>126.5</v>
      </c>
      <c r="Q192">
        <v>148.30000000000001</v>
      </c>
      <c r="R192">
        <v>135.69999999999999</v>
      </c>
      <c r="S192">
        <v>159.19999999999999</v>
      </c>
      <c r="T192">
        <v>137.80000000000001</v>
      </c>
      <c r="U192">
        <v>127.4</v>
      </c>
      <c r="V192">
        <v>136.19999999999999</v>
      </c>
      <c r="W192">
        <v>142.9</v>
      </c>
      <c r="X192">
        <v>124.6</v>
      </c>
      <c r="Y192">
        <v>131.80000000000001</v>
      </c>
      <c r="Z192">
        <v>131.30000000000001</v>
      </c>
      <c r="AA192">
        <v>118.9</v>
      </c>
      <c r="AB192">
        <v>127.6</v>
      </c>
      <c r="AC192">
        <v>139.69999999999999</v>
      </c>
      <c r="AD192">
        <v>127.6</v>
      </c>
      <c r="AE192">
        <v>128.19999999999999</v>
      </c>
      <c r="AF192">
        <v>134.80000000000001</v>
      </c>
    </row>
    <row r="193" spans="1:32">
      <c r="A193" t="s">
        <v>35</v>
      </c>
      <c r="B193">
        <v>2018</v>
      </c>
      <c r="C193" t="s">
        <v>39</v>
      </c>
      <c r="D193">
        <v>4</v>
      </c>
      <c r="E193" s="1">
        <v>43191</v>
      </c>
      <c r="F193">
        <v>136.4</v>
      </c>
      <c r="G193">
        <v>144.4</v>
      </c>
      <c r="H193">
        <v>133.9</v>
      </c>
      <c r="I193">
        <v>141.6</v>
      </c>
      <c r="J193">
        <v>121</v>
      </c>
      <c r="K193">
        <v>153.5</v>
      </c>
      <c r="L193">
        <v>132.6</v>
      </c>
      <c r="M193">
        <v>123.5</v>
      </c>
      <c r="N193">
        <v>113.7</v>
      </c>
      <c r="O193">
        <v>138.19999999999999</v>
      </c>
      <c r="P193">
        <v>129.6</v>
      </c>
      <c r="Q193">
        <v>151.19999999999999</v>
      </c>
      <c r="R193">
        <v>137.5</v>
      </c>
      <c r="S193">
        <v>156.9</v>
      </c>
      <c r="T193">
        <v>145.30000000000001</v>
      </c>
      <c r="U193">
        <v>136.69999999999999</v>
      </c>
      <c r="V193">
        <v>144</v>
      </c>
      <c r="W193">
        <v>142.9</v>
      </c>
      <c r="X193">
        <v>136.5</v>
      </c>
      <c r="Y193">
        <v>136.6</v>
      </c>
      <c r="Z193">
        <v>135.19999999999999</v>
      </c>
      <c r="AA193">
        <v>121.9</v>
      </c>
      <c r="AB193">
        <v>131.30000000000001</v>
      </c>
      <c r="AC193">
        <v>141.4</v>
      </c>
      <c r="AD193">
        <v>129.19999999999999</v>
      </c>
      <c r="AE193">
        <v>131.30000000000001</v>
      </c>
      <c r="AF193">
        <v>137.1</v>
      </c>
    </row>
    <row r="194" spans="1:32">
      <c r="A194" t="s">
        <v>30</v>
      </c>
      <c r="B194">
        <v>2018</v>
      </c>
      <c r="C194" t="s">
        <v>41</v>
      </c>
      <c r="D194">
        <v>5</v>
      </c>
      <c r="E194" s="1">
        <v>43221</v>
      </c>
      <c r="F194">
        <v>137.4</v>
      </c>
      <c r="G194">
        <v>145.69999999999999</v>
      </c>
      <c r="H194">
        <v>135.5</v>
      </c>
      <c r="I194">
        <v>142.9</v>
      </c>
      <c r="J194">
        <v>123.6</v>
      </c>
      <c r="K194">
        <v>157.5</v>
      </c>
      <c r="L194">
        <v>137.80000000000001</v>
      </c>
      <c r="M194">
        <v>127.2</v>
      </c>
      <c r="N194">
        <v>111.8</v>
      </c>
      <c r="O194">
        <v>137.4</v>
      </c>
      <c r="P194">
        <v>132.19999999999999</v>
      </c>
      <c r="Q194">
        <v>154.30000000000001</v>
      </c>
      <c r="R194">
        <v>139.1</v>
      </c>
      <c r="S194">
        <v>157</v>
      </c>
      <c r="T194">
        <v>150.80000000000001</v>
      </c>
      <c r="U194">
        <v>144.1</v>
      </c>
      <c r="V194">
        <v>149.80000000000001</v>
      </c>
      <c r="X194">
        <v>144.30000000000001</v>
      </c>
      <c r="Y194">
        <v>141.80000000000001</v>
      </c>
      <c r="Z194">
        <v>138.4</v>
      </c>
      <c r="AA194">
        <v>126.4</v>
      </c>
      <c r="AB194">
        <v>136.80000000000001</v>
      </c>
      <c r="AC194">
        <v>144.4</v>
      </c>
      <c r="AD194">
        <v>131.19999999999999</v>
      </c>
      <c r="AE194">
        <v>135.1</v>
      </c>
      <c r="AF194">
        <v>139.80000000000001</v>
      </c>
    </row>
    <row r="195" spans="1:32">
      <c r="A195" t="s">
        <v>33</v>
      </c>
      <c r="B195">
        <v>2018</v>
      </c>
      <c r="C195" t="s">
        <v>41</v>
      </c>
      <c r="D195">
        <v>5</v>
      </c>
      <c r="E195" s="1">
        <v>43221</v>
      </c>
      <c r="F195">
        <v>135</v>
      </c>
      <c r="G195">
        <v>148.19999999999999</v>
      </c>
      <c r="H195">
        <v>130.5</v>
      </c>
      <c r="I195">
        <v>140.69999999999999</v>
      </c>
      <c r="J195">
        <v>116.4</v>
      </c>
      <c r="K195">
        <v>151.30000000000001</v>
      </c>
      <c r="L195">
        <v>131.4</v>
      </c>
      <c r="M195">
        <v>112.8</v>
      </c>
      <c r="N195">
        <v>105.3</v>
      </c>
      <c r="O195">
        <v>139.6</v>
      </c>
      <c r="P195">
        <v>126.6</v>
      </c>
      <c r="Q195">
        <v>148.69999999999999</v>
      </c>
      <c r="R195">
        <v>136.4</v>
      </c>
      <c r="S195">
        <v>160.30000000000001</v>
      </c>
      <c r="T195">
        <v>138.6</v>
      </c>
      <c r="U195">
        <v>127.9</v>
      </c>
      <c r="V195">
        <v>137</v>
      </c>
      <c r="W195">
        <v>143.19999999999999</v>
      </c>
      <c r="X195">
        <v>124.7</v>
      </c>
      <c r="Y195">
        <v>132.5</v>
      </c>
      <c r="Z195">
        <v>132</v>
      </c>
      <c r="AA195">
        <v>119.8</v>
      </c>
      <c r="AB195">
        <v>128</v>
      </c>
      <c r="AC195">
        <v>140.4</v>
      </c>
      <c r="AD195">
        <v>128.1</v>
      </c>
      <c r="AE195">
        <v>128.9</v>
      </c>
      <c r="AF195">
        <v>135.4</v>
      </c>
    </row>
    <row r="196" spans="1:32">
      <c r="A196" t="s">
        <v>35</v>
      </c>
      <c r="B196">
        <v>2018</v>
      </c>
      <c r="C196" t="s">
        <v>41</v>
      </c>
      <c r="D196">
        <v>5</v>
      </c>
      <c r="E196" s="1">
        <v>43221</v>
      </c>
      <c r="F196">
        <v>136.6</v>
      </c>
      <c r="G196">
        <v>146.6</v>
      </c>
      <c r="H196">
        <v>133.6</v>
      </c>
      <c r="I196">
        <v>142.1</v>
      </c>
      <c r="J196">
        <v>121</v>
      </c>
      <c r="K196">
        <v>154.6</v>
      </c>
      <c r="L196">
        <v>135.6</v>
      </c>
      <c r="M196">
        <v>122.3</v>
      </c>
      <c r="N196">
        <v>109.6</v>
      </c>
      <c r="O196">
        <v>138.1</v>
      </c>
      <c r="P196">
        <v>129.9</v>
      </c>
      <c r="Q196">
        <v>151.69999999999999</v>
      </c>
      <c r="R196">
        <v>138.1</v>
      </c>
      <c r="S196">
        <v>157.9</v>
      </c>
      <c r="T196">
        <v>146</v>
      </c>
      <c r="U196">
        <v>137.4</v>
      </c>
      <c r="V196">
        <v>144.69999999999999</v>
      </c>
      <c r="W196">
        <v>143.19999999999999</v>
      </c>
      <c r="X196">
        <v>136.9</v>
      </c>
      <c r="Y196">
        <v>137.4</v>
      </c>
      <c r="Z196">
        <v>136</v>
      </c>
      <c r="AA196">
        <v>122.9</v>
      </c>
      <c r="AB196">
        <v>131.80000000000001</v>
      </c>
      <c r="AC196">
        <v>142.1</v>
      </c>
      <c r="AD196">
        <v>129.9</v>
      </c>
      <c r="AE196">
        <v>132.1</v>
      </c>
      <c r="AF196">
        <v>137.80000000000001</v>
      </c>
    </row>
    <row r="197" spans="1:32">
      <c r="A197" t="s">
        <v>30</v>
      </c>
      <c r="B197">
        <v>2018</v>
      </c>
      <c r="C197" t="s">
        <v>42</v>
      </c>
      <c r="D197">
        <v>6</v>
      </c>
      <c r="E197" s="1">
        <v>43252</v>
      </c>
      <c r="F197">
        <v>137.6</v>
      </c>
      <c r="G197">
        <v>148.1</v>
      </c>
      <c r="H197">
        <v>136.69999999999999</v>
      </c>
      <c r="I197">
        <v>143.19999999999999</v>
      </c>
      <c r="J197">
        <v>124</v>
      </c>
      <c r="K197">
        <v>154.1</v>
      </c>
      <c r="L197">
        <v>143.5</v>
      </c>
      <c r="M197">
        <v>126</v>
      </c>
      <c r="N197">
        <v>112.4</v>
      </c>
      <c r="O197">
        <v>137.6</v>
      </c>
      <c r="P197">
        <v>132.80000000000001</v>
      </c>
      <c r="Q197">
        <v>154.30000000000001</v>
      </c>
      <c r="R197">
        <v>140</v>
      </c>
      <c r="S197">
        <v>157.30000000000001</v>
      </c>
      <c r="T197">
        <v>151.30000000000001</v>
      </c>
      <c r="U197">
        <v>144.69999999999999</v>
      </c>
      <c r="V197">
        <v>150.30000000000001</v>
      </c>
      <c r="X197">
        <v>145.1</v>
      </c>
      <c r="Y197">
        <v>142.19999999999999</v>
      </c>
      <c r="Z197">
        <v>138.4</v>
      </c>
      <c r="AA197">
        <v>127.4</v>
      </c>
      <c r="AB197">
        <v>137.80000000000001</v>
      </c>
      <c r="AC197">
        <v>145.1</v>
      </c>
      <c r="AD197">
        <v>131.4</v>
      </c>
      <c r="AE197">
        <v>135.6</v>
      </c>
      <c r="AF197">
        <v>140.5</v>
      </c>
    </row>
    <row r="198" spans="1:32">
      <c r="A198" t="s">
        <v>33</v>
      </c>
      <c r="B198">
        <v>2018</v>
      </c>
      <c r="C198" t="s">
        <v>42</v>
      </c>
      <c r="D198">
        <v>6</v>
      </c>
      <c r="E198" s="1">
        <v>43252</v>
      </c>
      <c r="F198">
        <v>135.30000000000001</v>
      </c>
      <c r="G198">
        <v>149.69999999999999</v>
      </c>
      <c r="H198">
        <v>133.9</v>
      </c>
      <c r="I198">
        <v>140.80000000000001</v>
      </c>
      <c r="J198">
        <v>116.6</v>
      </c>
      <c r="K198">
        <v>152.19999999999999</v>
      </c>
      <c r="L198">
        <v>144</v>
      </c>
      <c r="M198">
        <v>112.3</v>
      </c>
      <c r="N198">
        <v>108.4</v>
      </c>
      <c r="O198">
        <v>140</v>
      </c>
      <c r="P198">
        <v>126.7</v>
      </c>
      <c r="Q198">
        <v>149</v>
      </c>
      <c r="R198">
        <v>138.4</v>
      </c>
      <c r="S198">
        <v>161</v>
      </c>
      <c r="T198">
        <v>138.9</v>
      </c>
      <c r="U198">
        <v>128.69999999999999</v>
      </c>
      <c r="V198">
        <v>137.4</v>
      </c>
      <c r="W198">
        <v>142.5</v>
      </c>
      <c r="X198">
        <v>126.5</v>
      </c>
      <c r="Y198">
        <v>133.1</v>
      </c>
      <c r="Z198">
        <v>132.6</v>
      </c>
      <c r="AA198">
        <v>120.4</v>
      </c>
      <c r="AB198">
        <v>128.5</v>
      </c>
      <c r="AC198">
        <v>141.19999999999999</v>
      </c>
      <c r="AD198">
        <v>128.19999999999999</v>
      </c>
      <c r="AE198">
        <v>129.5</v>
      </c>
      <c r="AF198">
        <v>136.19999999999999</v>
      </c>
    </row>
    <row r="199" spans="1:32">
      <c r="A199" t="s">
        <v>35</v>
      </c>
      <c r="B199">
        <v>2018</v>
      </c>
      <c r="C199" t="s">
        <v>42</v>
      </c>
      <c r="D199">
        <v>6</v>
      </c>
      <c r="E199" s="1">
        <v>43252</v>
      </c>
      <c r="F199">
        <v>136.9</v>
      </c>
      <c r="G199">
        <v>148.69999999999999</v>
      </c>
      <c r="H199">
        <v>135.6</v>
      </c>
      <c r="I199">
        <v>142.30000000000001</v>
      </c>
      <c r="J199">
        <v>121.3</v>
      </c>
      <c r="K199">
        <v>153.19999999999999</v>
      </c>
      <c r="L199">
        <v>143.69999999999999</v>
      </c>
      <c r="M199">
        <v>121.4</v>
      </c>
      <c r="N199">
        <v>111.1</v>
      </c>
      <c r="O199">
        <v>138.4</v>
      </c>
      <c r="P199">
        <v>130.30000000000001</v>
      </c>
      <c r="Q199">
        <v>151.80000000000001</v>
      </c>
      <c r="R199">
        <v>139.4</v>
      </c>
      <c r="S199">
        <v>158.30000000000001</v>
      </c>
      <c r="T199">
        <v>146.4</v>
      </c>
      <c r="U199">
        <v>138.1</v>
      </c>
      <c r="V199">
        <v>145.19999999999999</v>
      </c>
      <c r="W199">
        <v>142.5</v>
      </c>
      <c r="X199">
        <v>138.1</v>
      </c>
      <c r="Y199">
        <v>137.9</v>
      </c>
      <c r="Z199">
        <v>136.19999999999999</v>
      </c>
      <c r="AA199">
        <v>123.7</v>
      </c>
      <c r="AB199">
        <v>132.6</v>
      </c>
      <c r="AC199">
        <v>142.80000000000001</v>
      </c>
      <c r="AD199">
        <v>130.1</v>
      </c>
      <c r="AE199">
        <v>132.6</v>
      </c>
      <c r="AF199">
        <v>138.5</v>
      </c>
    </row>
    <row r="200" spans="1:32">
      <c r="A200" t="s">
        <v>30</v>
      </c>
      <c r="B200">
        <v>2018</v>
      </c>
      <c r="C200" t="s">
        <v>44</v>
      </c>
      <c r="D200">
        <v>7</v>
      </c>
      <c r="E200" s="1">
        <v>43282</v>
      </c>
      <c r="F200">
        <v>138.4</v>
      </c>
      <c r="G200">
        <v>149.30000000000001</v>
      </c>
      <c r="H200">
        <v>139.30000000000001</v>
      </c>
      <c r="I200">
        <v>143.4</v>
      </c>
      <c r="J200">
        <v>124.1</v>
      </c>
      <c r="K200">
        <v>153.30000000000001</v>
      </c>
      <c r="L200">
        <v>154.19999999999999</v>
      </c>
      <c r="M200">
        <v>126.4</v>
      </c>
      <c r="N200">
        <v>114.3</v>
      </c>
      <c r="O200">
        <v>138.19999999999999</v>
      </c>
      <c r="P200">
        <v>132.80000000000001</v>
      </c>
      <c r="Q200">
        <v>154.80000000000001</v>
      </c>
      <c r="R200">
        <v>142</v>
      </c>
      <c r="S200">
        <v>156.1</v>
      </c>
      <c r="T200">
        <v>151.5</v>
      </c>
      <c r="U200">
        <v>145.1</v>
      </c>
      <c r="V200">
        <v>150.6</v>
      </c>
      <c r="X200">
        <v>146.80000000000001</v>
      </c>
      <c r="Y200">
        <v>143.1</v>
      </c>
      <c r="Z200">
        <v>139</v>
      </c>
      <c r="AA200">
        <v>127.5</v>
      </c>
      <c r="AB200">
        <v>138.4</v>
      </c>
      <c r="AC200">
        <v>145.80000000000001</v>
      </c>
      <c r="AD200">
        <v>131.4</v>
      </c>
      <c r="AE200">
        <v>136</v>
      </c>
      <c r="AF200">
        <v>141.80000000000001</v>
      </c>
    </row>
    <row r="201" spans="1:32">
      <c r="A201" t="s">
        <v>33</v>
      </c>
      <c r="B201">
        <v>2018</v>
      </c>
      <c r="C201" t="s">
        <v>44</v>
      </c>
      <c r="D201">
        <v>7</v>
      </c>
      <c r="E201" s="1">
        <v>43282</v>
      </c>
      <c r="F201">
        <v>135.6</v>
      </c>
      <c r="G201">
        <v>148.6</v>
      </c>
      <c r="H201">
        <v>139.1</v>
      </c>
      <c r="I201">
        <v>141</v>
      </c>
      <c r="J201">
        <v>116.7</v>
      </c>
      <c r="K201">
        <v>149.69999999999999</v>
      </c>
      <c r="L201">
        <v>159.19999999999999</v>
      </c>
      <c r="M201">
        <v>112.6</v>
      </c>
      <c r="N201">
        <v>111.8</v>
      </c>
      <c r="O201">
        <v>140.30000000000001</v>
      </c>
      <c r="P201">
        <v>126.8</v>
      </c>
      <c r="Q201">
        <v>149.4</v>
      </c>
      <c r="R201">
        <v>140.30000000000001</v>
      </c>
      <c r="S201">
        <v>161.4</v>
      </c>
      <c r="T201">
        <v>139.6</v>
      </c>
      <c r="U201">
        <v>128.9</v>
      </c>
      <c r="V201">
        <v>137.9</v>
      </c>
      <c r="W201">
        <v>143.6</v>
      </c>
      <c r="X201">
        <v>128.1</v>
      </c>
      <c r="Y201">
        <v>133.6</v>
      </c>
      <c r="Z201">
        <v>133.6</v>
      </c>
      <c r="AA201">
        <v>120.1</v>
      </c>
      <c r="AB201">
        <v>129</v>
      </c>
      <c r="AC201">
        <v>144</v>
      </c>
      <c r="AD201">
        <v>128.19999999999999</v>
      </c>
      <c r="AE201">
        <v>130.19999999999999</v>
      </c>
      <c r="AF201">
        <v>137.5</v>
      </c>
    </row>
    <row r="202" spans="1:32">
      <c r="A202" t="s">
        <v>35</v>
      </c>
      <c r="B202">
        <v>2018</v>
      </c>
      <c r="C202" t="s">
        <v>44</v>
      </c>
      <c r="D202">
        <v>7</v>
      </c>
      <c r="E202" s="1">
        <v>43282</v>
      </c>
      <c r="F202">
        <v>137.5</v>
      </c>
      <c r="G202">
        <v>149.1</v>
      </c>
      <c r="H202">
        <v>139.19999999999999</v>
      </c>
      <c r="I202">
        <v>142.5</v>
      </c>
      <c r="J202">
        <v>121.4</v>
      </c>
      <c r="K202">
        <v>151.6</v>
      </c>
      <c r="L202">
        <v>155.9</v>
      </c>
      <c r="M202">
        <v>121.7</v>
      </c>
      <c r="N202">
        <v>113.5</v>
      </c>
      <c r="O202">
        <v>138.9</v>
      </c>
      <c r="P202">
        <v>130.30000000000001</v>
      </c>
      <c r="Q202">
        <v>152.30000000000001</v>
      </c>
      <c r="R202">
        <v>141.4</v>
      </c>
      <c r="S202">
        <v>157.5</v>
      </c>
      <c r="T202">
        <v>146.80000000000001</v>
      </c>
      <c r="U202">
        <v>138.4</v>
      </c>
      <c r="V202">
        <v>145.6</v>
      </c>
      <c r="W202">
        <v>143.6</v>
      </c>
      <c r="X202">
        <v>139.69999999999999</v>
      </c>
      <c r="Y202">
        <v>138.6</v>
      </c>
      <c r="Z202">
        <v>137</v>
      </c>
      <c r="AA202">
        <v>123.6</v>
      </c>
      <c r="AB202">
        <v>133.1</v>
      </c>
      <c r="AC202">
        <v>144.69999999999999</v>
      </c>
      <c r="AD202">
        <v>130.1</v>
      </c>
      <c r="AE202">
        <v>133.19999999999999</v>
      </c>
      <c r="AF202">
        <v>139.80000000000001</v>
      </c>
    </row>
    <row r="203" spans="1:32">
      <c r="A203" t="s">
        <v>30</v>
      </c>
      <c r="B203">
        <v>2018</v>
      </c>
      <c r="C203" t="s">
        <v>46</v>
      </c>
      <c r="D203">
        <v>8</v>
      </c>
      <c r="E203" s="1">
        <v>43313</v>
      </c>
      <c r="F203">
        <v>139.19999999999999</v>
      </c>
      <c r="G203">
        <v>148.80000000000001</v>
      </c>
      <c r="H203">
        <v>139.1</v>
      </c>
      <c r="I203">
        <v>143.5</v>
      </c>
      <c r="J203">
        <v>125</v>
      </c>
      <c r="K203">
        <v>154.4</v>
      </c>
      <c r="L203">
        <v>156.30000000000001</v>
      </c>
      <c r="M203">
        <v>126.8</v>
      </c>
      <c r="N203">
        <v>115.4</v>
      </c>
      <c r="O203">
        <v>138.6</v>
      </c>
      <c r="P203">
        <v>133.80000000000001</v>
      </c>
      <c r="Q203">
        <v>155.19999999999999</v>
      </c>
      <c r="R203">
        <v>142.69999999999999</v>
      </c>
      <c r="S203">
        <v>156.4</v>
      </c>
      <c r="T203">
        <v>152.1</v>
      </c>
      <c r="U203">
        <v>145.80000000000001</v>
      </c>
      <c r="V203">
        <v>151.30000000000001</v>
      </c>
      <c r="X203">
        <v>147.69999999999999</v>
      </c>
      <c r="Y203">
        <v>143.80000000000001</v>
      </c>
      <c r="Z203">
        <v>139.4</v>
      </c>
      <c r="AA203">
        <v>128.30000000000001</v>
      </c>
      <c r="AB203">
        <v>138.6</v>
      </c>
      <c r="AC203">
        <v>146.9</v>
      </c>
      <c r="AD203">
        <v>131.30000000000001</v>
      </c>
      <c r="AE203">
        <v>136.6</v>
      </c>
      <c r="AF203">
        <v>142.5</v>
      </c>
    </row>
    <row r="204" spans="1:32">
      <c r="A204" t="s">
        <v>33</v>
      </c>
      <c r="B204">
        <v>2018</v>
      </c>
      <c r="C204" t="s">
        <v>46</v>
      </c>
      <c r="D204">
        <v>8</v>
      </c>
      <c r="E204" s="1">
        <v>43313</v>
      </c>
      <c r="F204">
        <v>136.5</v>
      </c>
      <c r="G204">
        <v>146.4</v>
      </c>
      <c r="H204">
        <v>136.6</v>
      </c>
      <c r="I204">
        <v>141.19999999999999</v>
      </c>
      <c r="J204">
        <v>117.4</v>
      </c>
      <c r="K204">
        <v>146.30000000000001</v>
      </c>
      <c r="L204">
        <v>157.30000000000001</v>
      </c>
      <c r="M204">
        <v>113.6</v>
      </c>
      <c r="N204">
        <v>113.3</v>
      </c>
      <c r="O204">
        <v>141.1</v>
      </c>
      <c r="P204">
        <v>127.4</v>
      </c>
      <c r="Q204">
        <v>150.4</v>
      </c>
      <c r="R204">
        <v>140.1</v>
      </c>
      <c r="S204">
        <v>162.1</v>
      </c>
      <c r="T204">
        <v>140</v>
      </c>
      <c r="U204">
        <v>129</v>
      </c>
      <c r="V204">
        <v>138.30000000000001</v>
      </c>
      <c r="W204">
        <v>144.6</v>
      </c>
      <c r="X204">
        <v>129.80000000000001</v>
      </c>
      <c r="Y204">
        <v>134.4</v>
      </c>
      <c r="Z204">
        <v>134.9</v>
      </c>
      <c r="AA204">
        <v>120.7</v>
      </c>
      <c r="AB204">
        <v>129.80000000000001</v>
      </c>
      <c r="AC204">
        <v>145.30000000000001</v>
      </c>
      <c r="AD204">
        <v>128.30000000000001</v>
      </c>
      <c r="AE204">
        <v>131</v>
      </c>
      <c r="AF204">
        <v>138</v>
      </c>
    </row>
    <row r="205" spans="1:32">
      <c r="A205" t="s">
        <v>35</v>
      </c>
      <c r="B205">
        <v>2018</v>
      </c>
      <c r="C205" t="s">
        <v>46</v>
      </c>
      <c r="D205">
        <v>8</v>
      </c>
      <c r="E205" s="1">
        <v>43313</v>
      </c>
      <c r="F205">
        <v>138.30000000000001</v>
      </c>
      <c r="G205">
        <v>148</v>
      </c>
      <c r="H205">
        <v>138.1</v>
      </c>
      <c r="I205">
        <v>142.6</v>
      </c>
      <c r="J205">
        <v>122.2</v>
      </c>
      <c r="K205">
        <v>150.6</v>
      </c>
      <c r="L205">
        <v>156.6</v>
      </c>
      <c r="M205">
        <v>122.4</v>
      </c>
      <c r="N205">
        <v>114.7</v>
      </c>
      <c r="O205">
        <v>139.4</v>
      </c>
      <c r="P205">
        <v>131.1</v>
      </c>
      <c r="Q205">
        <v>153</v>
      </c>
      <c r="R205">
        <v>141.69999999999999</v>
      </c>
      <c r="S205">
        <v>157.9</v>
      </c>
      <c r="T205">
        <v>147.30000000000001</v>
      </c>
      <c r="U205">
        <v>138.80000000000001</v>
      </c>
      <c r="V205">
        <v>146.1</v>
      </c>
      <c r="W205">
        <v>144.6</v>
      </c>
      <c r="X205">
        <v>140.9</v>
      </c>
      <c r="Y205">
        <v>139.4</v>
      </c>
      <c r="Z205">
        <v>137.69999999999999</v>
      </c>
      <c r="AA205">
        <v>124.3</v>
      </c>
      <c r="AB205">
        <v>133.6</v>
      </c>
      <c r="AC205">
        <v>146</v>
      </c>
      <c r="AD205">
        <v>130.1</v>
      </c>
      <c r="AE205">
        <v>133.9</v>
      </c>
      <c r="AF205">
        <v>140.4</v>
      </c>
    </row>
    <row r="206" spans="1:32">
      <c r="A206" t="s">
        <v>30</v>
      </c>
      <c r="B206">
        <v>2018</v>
      </c>
      <c r="C206" t="s">
        <v>48</v>
      </c>
      <c r="D206">
        <v>9</v>
      </c>
      <c r="E206" s="1">
        <v>43344</v>
      </c>
      <c r="F206">
        <v>139.4</v>
      </c>
      <c r="G206">
        <v>147.19999999999999</v>
      </c>
      <c r="H206">
        <v>136.6</v>
      </c>
      <c r="I206">
        <v>143.69999999999999</v>
      </c>
      <c r="J206">
        <v>124.6</v>
      </c>
      <c r="K206">
        <v>150.1</v>
      </c>
      <c r="L206">
        <v>149.4</v>
      </c>
      <c r="M206">
        <v>125.4</v>
      </c>
      <c r="N206">
        <v>114.4</v>
      </c>
      <c r="O206">
        <v>138.69999999999999</v>
      </c>
      <c r="P206">
        <v>133.1</v>
      </c>
      <c r="Q206">
        <v>155.9</v>
      </c>
      <c r="R206">
        <v>141.30000000000001</v>
      </c>
      <c r="S206">
        <v>157.69999999999999</v>
      </c>
      <c r="T206">
        <v>152.1</v>
      </c>
      <c r="U206">
        <v>146.1</v>
      </c>
      <c r="V206">
        <v>151.30000000000001</v>
      </c>
      <c r="X206">
        <v>149</v>
      </c>
      <c r="Y206">
        <v>144</v>
      </c>
      <c r="Z206">
        <v>140</v>
      </c>
      <c r="AA206">
        <v>129.9</v>
      </c>
      <c r="AB206">
        <v>140</v>
      </c>
      <c r="AC206">
        <v>147.6</v>
      </c>
      <c r="AD206">
        <v>132</v>
      </c>
      <c r="AE206">
        <v>137.4</v>
      </c>
      <c r="AF206">
        <v>142.1</v>
      </c>
    </row>
    <row r="207" spans="1:32">
      <c r="A207" t="s">
        <v>33</v>
      </c>
      <c r="B207">
        <v>2018</v>
      </c>
      <c r="C207" t="s">
        <v>48</v>
      </c>
      <c r="D207">
        <v>9</v>
      </c>
      <c r="E207" s="1">
        <v>43344</v>
      </c>
      <c r="F207">
        <v>137</v>
      </c>
      <c r="G207">
        <v>143.1</v>
      </c>
      <c r="H207">
        <v>132.80000000000001</v>
      </c>
      <c r="I207">
        <v>141.5</v>
      </c>
      <c r="J207">
        <v>117.8</v>
      </c>
      <c r="K207">
        <v>140</v>
      </c>
      <c r="L207">
        <v>151.30000000000001</v>
      </c>
      <c r="M207">
        <v>113.5</v>
      </c>
      <c r="N207">
        <v>112.3</v>
      </c>
      <c r="O207">
        <v>141.19999999999999</v>
      </c>
      <c r="P207">
        <v>127.7</v>
      </c>
      <c r="Q207">
        <v>151.30000000000001</v>
      </c>
      <c r="R207">
        <v>138.9</v>
      </c>
      <c r="S207">
        <v>163.30000000000001</v>
      </c>
      <c r="T207">
        <v>140.80000000000001</v>
      </c>
      <c r="U207">
        <v>129.30000000000001</v>
      </c>
      <c r="V207">
        <v>139.1</v>
      </c>
      <c r="W207">
        <v>145.30000000000001</v>
      </c>
      <c r="X207">
        <v>131.19999999999999</v>
      </c>
      <c r="Y207">
        <v>134.9</v>
      </c>
      <c r="Z207">
        <v>135.69999999999999</v>
      </c>
      <c r="AA207">
        <v>122.5</v>
      </c>
      <c r="AB207">
        <v>130.19999999999999</v>
      </c>
      <c r="AC207">
        <v>145.19999999999999</v>
      </c>
      <c r="AD207">
        <v>129.30000000000001</v>
      </c>
      <c r="AE207">
        <v>131.9</v>
      </c>
      <c r="AF207">
        <v>138.1</v>
      </c>
    </row>
    <row r="208" spans="1:32">
      <c r="A208" t="s">
        <v>35</v>
      </c>
      <c r="B208">
        <v>2018</v>
      </c>
      <c r="C208" t="s">
        <v>48</v>
      </c>
      <c r="D208">
        <v>9</v>
      </c>
      <c r="E208" s="1">
        <v>43344</v>
      </c>
      <c r="F208">
        <v>138.6</v>
      </c>
      <c r="G208">
        <v>145.80000000000001</v>
      </c>
      <c r="H208">
        <v>135.1</v>
      </c>
      <c r="I208">
        <v>142.9</v>
      </c>
      <c r="J208">
        <v>122.1</v>
      </c>
      <c r="K208">
        <v>145.4</v>
      </c>
      <c r="L208">
        <v>150</v>
      </c>
      <c r="M208">
        <v>121.4</v>
      </c>
      <c r="N208">
        <v>113.7</v>
      </c>
      <c r="O208">
        <v>139.5</v>
      </c>
      <c r="P208">
        <v>130.80000000000001</v>
      </c>
      <c r="Q208">
        <v>153.80000000000001</v>
      </c>
      <c r="R208">
        <v>140.4</v>
      </c>
      <c r="S208">
        <v>159.19999999999999</v>
      </c>
      <c r="T208">
        <v>147.69999999999999</v>
      </c>
      <c r="U208">
        <v>139.1</v>
      </c>
      <c r="V208">
        <v>146.5</v>
      </c>
      <c r="W208">
        <v>145.30000000000001</v>
      </c>
      <c r="X208">
        <v>142.30000000000001</v>
      </c>
      <c r="Y208">
        <v>139.69999999999999</v>
      </c>
      <c r="Z208">
        <v>138.4</v>
      </c>
      <c r="AA208">
        <v>126</v>
      </c>
      <c r="AB208">
        <v>134.5</v>
      </c>
      <c r="AC208">
        <v>146.19999999999999</v>
      </c>
      <c r="AD208">
        <v>130.9</v>
      </c>
      <c r="AE208">
        <v>134.69999999999999</v>
      </c>
      <c r="AF208">
        <v>140.19999999999999</v>
      </c>
    </row>
    <row r="209" spans="1:32">
      <c r="A209" t="s">
        <v>30</v>
      </c>
      <c r="B209">
        <v>2018</v>
      </c>
      <c r="C209" t="s">
        <v>50</v>
      </c>
      <c r="D209">
        <v>10</v>
      </c>
      <c r="E209" s="1">
        <v>43374</v>
      </c>
      <c r="F209">
        <v>139.30000000000001</v>
      </c>
      <c r="G209">
        <v>147.6</v>
      </c>
      <c r="H209">
        <v>134.6</v>
      </c>
      <c r="I209">
        <v>141.9</v>
      </c>
      <c r="J209">
        <v>123.5</v>
      </c>
      <c r="K209">
        <v>144.5</v>
      </c>
      <c r="L209">
        <v>147.6</v>
      </c>
      <c r="M209">
        <v>121.4</v>
      </c>
      <c r="N209">
        <v>112.3</v>
      </c>
      <c r="O209">
        <v>139.5</v>
      </c>
      <c r="P209">
        <v>134.6</v>
      </c>
      <c r="Q209">
        <v>155.19999999999999</v>
      </c>
      <c r="R209">
        <v>140.19999999999999</v>
      </c>
      <c r="S209">
        <v>159.6</v>
      </c>
      <c r="T209">
        <v>150.69999999999999</v>
      </c>
      <c r="U209">
        <v>144.5</v>
      </c>
      <c r="V209">
        <v>149.80000000000001</v>
      </c>
      <c r="X209">
        <v>149.69999999999999</v>
      </c>
      <c r="Y209">
        <v>147.5</v>
      </c>
      <c r="Z209">
        <v>144.80000000000001</v>
      </c>
      <c r="AA209">
        <v>130.80000000000001</v>
      </c>
      <c r="AB209">
        <v>140.1</v>
      </c>
      <c r="AC209">
        <v>148</v>
      </c>
      <c r="AD209">
        <v>134.4</v>
      </c>
      <c r="AE209">
        <v>139.80000000000001</v>
      </c>
      <c r="AF209">
        <v>142.19999999999999</v>
      </c>
    </row>
    <row r="210" spans="1:32">
      <c r="A210" t="s">
        <v>33</v>
      </c>
      <c r="B210">
        <v>2018</v>
      </c>
      <c r="C210" t="s">
        <v>50</v>
      </c>
      <c r="D210">
        <v>10</v>
      </c>
      <c r="E210" s="1">
        <v>43374</v>
      </c>
      <c r="F210">
        <v>137.6</v>
      </c>
      <c r="G210">
        <v>144.9</v>
      </c>
      <c r="H210">
        <v>133.5</v>
      </c>
      <c r="I210">
        <v>141.5</v>
      </c>
      <c r="J210">
        <v>118</v>
      </c>
      <c r="K210">
        <v>139.5</v>
      </c>
      <c r="L210">
        <v>153</v>
      </c>
      <c r="M210">
        <v>113.2</v>
      </c>
      <c r="N210">
        <v>112.8</v>
      </c>
      <c r="O210">
        <v>141.1</v>
      </c>
      <c r="P210">
        <v>127.6</v>
      </c>
      <c r="Q210">
        <v>152</v>
      </c>
      <c r="R210">
        <v>139.4</v>
      </c>
      <c r="S210">
        <v>164</v>
      </c>
      <c r="T210">
        <v>141.5</v>
      </c>
      <c r="U210">
        <v>129.80000000000001</v>
      </c>
      <c r="V210">
        <v>139.69999999999999</v>
      </c>
      <c r="W210">
        <v>146.30000000000001</v>
      </c>
      <c r="X210">
        <v>133.4</v>
      </c>
      <c r="Y210">
        <v>135.1</v>
      </c>
      <c r="Z210">
        <v>136.19999999999999</v>
      </c>
      <c r="AA210">
        <v>123.3</v>
      </c>
      <c r="AB210">
        <v>130.69999999999999</v>
      </c>
      <c r="AC210">
        <v>145.5</v>
      </c>
      <c r="AD210">
        <v>130.4</v>
      </c>
      <c r="AE210">
        <v>132.5</v>
      </c>
      <c r="AF210">
        <v>138.9</v>
      </c>
    </row>
    <row r="211" spans="1:32">
      <c r="A211" t="s">
        <v>35</v>
      </c>
      <c r="B211">
        <v>2018</v>
      </c>
      <c r="C211" t="s">
        <v>50</v>
      </c>
      <c r="D211">
        <v>10</v>
      </c>
      <c r="E211" s="1">
        <v>43374</v>
      </c>
      <c r="F211">
        <v>137.4</v>
      </c>
      <c r="G211">
        <v>149.5</v>
      </c>
      <c r="H211">
        <v>137.30000000000001</v>
      </c>
      <c r="I211">
        <v>141.9</v>
      </c>
      <c r="J211">
        <v>121.1</v>
      </c>
      <c r="K211">
        <v>142.5</v>
      </c>
      <c r="L211">
        <v>146.69999999999999</v>
      </c>
      <c r="M211">
        <v>119.1</v>
      </c>
      <c r="N211">
        <v>111.9</v>
      </c>
      <c r="O211">
        <v>141</v>
      </c>
      <c r="P211">
        <v>133.6</v>
      </c>
      <c r="Q211">
        <v>154.5</v>
      </c>
      <c r="R211">
        <v>139.69999999999999</v>
      </c>
      <c r="S211">
        <v>162.6</v>
      </c>
      <c r="T211">
        <v>148</v>
      </c>
      <c r="U211">
        <v>139.19999999999999</v>
      </c>
      <c r="V211">
        <v>146.80000000000001</v>
      </c>
      <c r="W211">
        <v>146.9</v>
      </c>
      <c r="X211">
        <v>145.30000000000001</v>
      </c>
      <c r="Y211">
        <v>142.19999999999999</v>
      </c>
      <c r="Z211">
        <v>142.1</v>
      </c>
      <c r="AA211">
        <v>125.5</v>
      </c>
      <c r="AB211">
        <v>136.5</v>
      </c>
      <c r="AC211">
        <v>147.80000000000001</v>
      </c>
      <c r="AD211">
        <v>132</v>
      </c>
      <c r="AE211">
        <v>136.30000000000001</v>
      </c>
      <c r="AF211">
        <v>140.80000000000001</v>
      </c>
    </row>
    <row r="212" spans="1:32">
      <c r="A212" t="s">
        <v>30</v>
      </c>
      <c r="B212">
        <v>2018</v>
      </c>
      <c r="C212" t="s">
        <v>53</v>
      </c>
      <c r="D212">
        <v>11</v>
      </c>
      <c r="E212" s="1">
        <v>43405</v>
      </c>
      <c r="F212">
        <v>137.1</v>
      </c>
      <c r="G212">
        <v>150.80000000000001</v>
      </c>
      <c r="H212">
        <v>136.69999999999999</v>
      </c>
      <c r="I212">
        <v>141.9</v>
      </c>
      <c r="J212">
        <v>122.8</v>
      </c>
      <c r="K212">
        <v>143.9</v>
      </c>
      <c r="L212">
        <v>147.5</v>
      </c>
      <c r="M212">
        <v>121</v>
      </c>
      <c r="N212">
        <v>111.6</v>
      </c>
      <c r="O212">
        <v>140.6</v>
      </c>
      <c r="P212">
        <v>137.5</v>
      </c>
      <c r="Q212">
        <v>156.1</v>
      </c>
      <c r="R212">
        <v>140</v>
      </c>
      <c r="S212">
        <v>161.9</v>
      </c>
      <c r="T212">
        <v>151.69999999999999</v>
      </c>
      <c r="U212">
        <v>145.5</v>
      </c>
      <c r="V212">
        <v>150.80000000000001</v>
      </c>
      <c r="X212">
        <v>150.30000000000001</v>
      </c>
      <c r="Y212">
        <v>148</v>
      </c>
      <c r="Z212">
        <v>145.4</v>
      </c>
      <c r="AA212">
        <v>130.30000000000001</v>
      </c>
      <c r="AB212">
        <v>143.1</v>
      </c>
      <c r="AC212">
        <v>150.19999999999999</v>
      </c>
      <c r="AD212">
        <v>133.1</v>
      </c>
      <c r="AE212">
        <v>140.1</v>
      </c>
      <c r="AF212">
        <v>142.4</v>
      </c>
    </row>
    <row r="213" spans="1:32">
      <c r="A213" t="s">
        <v>33</v>
      </c>
      <c r="B213">
        <v>2018</v>
      </c>
      <c r="C213" t="s">
        <v>53</v>
      </c>
      <c r="D213">
        <v>11</v>
      </c>
      <c r="E213" s="1">
        <v>43405</v>
      </c>
      <c r="F213">
        <v>138.1</v>
      </c>
      <c r="G213">
        <v>146.30000000000001</v>
      </c>
      <c r="H213">
        <v>137.80000000000001</v>
      </c>
      <c r="I213">
        <v>141.6</v>
      </c>
      <c r="J213">
        <v>118.1</v>
      </c>
      <c r="K213">
        <v>141.5</v>
      </c>
      <c r="L213">
        <v>145.19999999999999</v>
      </c>
      <c r="M213">
        <v>115.3</v>
      </c>
      <c r="N213">
        <v>112.5</v>
      </c>
      <c r="O213">
        <v>141.4</v>
      </c>
      <c r="P213">
        <v>128</v>
      </c>
      <c r="Q213">
        <v>152.6</v>
      </c>
      <c r="R213">
        <v>139.1</v>
      </c>
      <c r="S213">
        <v>164.4</v>
      </c>
      <c r="T213">
        <v>142.4</v>
      </c>
      <c r="U213">
        <v>130.19999999999999</v>
      </c>
      <c r="V213">
        <v>140.5</v>
      </c>
      <c r="W213">
        <v>146.9</v>
      </c>
      <c r="X213">
        <v>136.69999999999999</v>
      </c>
      <c r="Y213">
        <v>135.80000000000001</v>
      </c>
      <c r="Z213">
        <v>136.80000000000001</v>
      </c>
      <c r="AA213">
        <v>121.2</v>
      </c>
      <c r="AB213">
        <v>131.30000000000001</v>
      </c>
      <c r="AC213">
        <v>146.1</v>
      </c>
      <c r="AD213">
        <v>130.5</v>
      </c>
      <c r="AE213">
        <v>132.19999999999999</v>
      </c>
      <c r="AF213">
        <v>139</v>
      </c>
    </row>
    <row r="214" spans="1:32">
      <c r="A214" t="s">
        <v>35</v>
      </c>
      <c r="B214">
        <v>2018</v>
      </c>
      <c r="C214" t="s">
        <v>53</v>
      </c>
      <c r="D214">
        <v>11</v>
      </c>
      <c r="E214" s="1">
        <v>43405</v>
      </c>
      <c r="F214">
        <v>137.4</v>
      </c>
      <c r="G214">
        <v>149.19999999999999</v>
      </c>
      <c r="H214">
        <v>137.1</v>
      </c>
      <c r="I214">
        <v>141.80000000000001</v>
      </c>
      <c r="J214">
        <v>121.1</v>
      </c>
      <c r="K214">
        <v>142.80000000000001</v>
      </c>
      <c r="L214">
        <v>146.69999999999999</v>
      </c>
      <c r="M214">
        <v>119.1</v>
      </c>
      <c r="N214">
        <v>111.9</v>
      </c>
      <c r="O214">
        <v>140.9</v>
      </c>
      <c r="P214">
        <v>133.5</v>
      </c>
      <c r="Q214">
        <v>154.5</v>
      </c>
      <c r="R214">
        <v>139.69999999999999</v>
      </c>
      <c r="S214">
        <v>162.6</v>
      </c>
      <c r="T214">
        <v>148</v>
      </c>
      <c r="U214">
        <v>139.1</v>
      </c>
      <c r="V214">
        <v>146.69999999999999</v>
      </c>
      <c r="W214">
        <v>146.9</v>
      </c>
      <c r="X214">
        <v>145.1</v>
      </c>
      <c r="Y214">
        <v>142.19999999999999</v>
      </c>
      <c r="Z214">
        <v>142.1</v>
      </c>
      <c r="AA214">
        <v>125.5</v>
      </c>
      <c r="AB214">
        <v>136.5</v>
      </c>
      <c r="AC214">
        <v>147.80000000000001</v>
      </c>
      <c r="AD214">
        <v>132</v>
      </c>
      <c r="AE214">
        <v>136.30000000000001</v>
      </c>
      <c r="AF214">
        <v>140.80000000000001</v>
      </c>
    </row>
    <row r="215" spans="1:32">
      <c r="A215" t="s">
        <v>30</v>
      </c>
      <c r="B215">
        <v>2018</v>
      </c>
      <c r="C215" t="s">
        <v>55</v>
      </c>
      <c r="D215">
        <v>12</v>
      </c>
      <c r="E215" s="1">
        <v>43435</v>
      </c>
      <c r="F215">
        <v>137.1</v>
      </c>
      <c r="G215">
        <v>151.9</v>
      </c>
      <c r="H215">
        <v>137.4</v>
      </c>
      <c r="I215">
        <v>142.4</v>
      </c>
      <c r="J215">
        <v>124.2</v>
      </c>
      <c r="K215">
        <v>140.19999999999999</v>
      </c>
      <c r="L215">
        <v>136.6</v>
      </c>
      <c r="M215">
        <v>120.9</v>
      </c>
      <c r="N215">
        <v>109.9</v>
      </c>
      <c r="O215">
        <v>140.19999999999999</v>
      </c>
      <c r="P215">
        <v>137.80000000000001</v>
      </c>
      <c r="Q215">
        <v>156</v>
      </c>
      <c r="R215">
        <v>138.5</v>
      </c>
      <c r="S215">
        <v>162.4</v>
      </c>
      <c r="T215">
        <v>151.6</v>
      </c>
      <c r="U215">
        <v>145.9</v>
      </c>
      <c r="V215">
        <v>150.80000000000001</v>
      </c>
      <c r="X215">
        <v>149</v>
      </c>
      <c r="Y215">
        <v>149.5</v>
      </c>
      <c r="Z215">
        <v>149.6</v>
      </c>
      <c r="AA215">
        <v>128.9</v>
      </c>
      <c r="AB215">
        <v>143.30000000000001</v>
      </c>
      <c r="AC215">
        <v>155.1</v>
      </c>
      <c r="AD215">
        <v>133.19999999999999</v>
      </c>
      <c r="AE215">
        <v>141.6</v>
      </c>
      <c r="AF215">
        <v>141.9</v>
      </c>
    </row>
    <row r="216" spans="1:32">
      <c r="A216" t="s">
        <v>33</v>
      </c>
      <c r="B216">
        <v>2018</v>
      </c>
      <c r="C216" t="s">
        <v>55</v>
      </c>
      <c r="D216">
        <v>12</v>
      </c>
      <c r="E216" s="1">
        <v>43435</v>
      </c>
      <c r="F216">
        <v>138.5</v>
      </c>
      <c r="G216">
        <v>147.80000000000001</v>
      </c>
      <c r="H216">
        <v>141.1</v>
      </c>
      <c r="I216">
        <v>141.6</v>
      </c>
      <c r="J216">
        <v>118.1</v>
      </c>
      <c r="K216">
        <v>138.5</v>
      </c>
      <c r="L216">
        <v>132.4</v>
      </c>
      <c r="M216">
        <v>117.5</v>
      </c>
      <c r="N216">
        <v>111</v>
      </c>
      <c r="O216">
        <v>141.5</v>
      </c>
      <c r="P216">
        <v>128.1</v>
      </c>
      <c r="Q216">
        <v>152.9</v>
      </c>
      <c r="R216">
        <v>137.6</v>
      </c>
      <c r="S216">
        <v>164.6</v>
      </c>
      <c r="T216">
        <v>142.69999999999999</v>
      </c>
      <c r="U216">
        <v>130.30000000000001</v>
      </c>
      <c r="V216">
        <v>140.80000000000001</v>
      </c>
      <c r="W216">
        <v>146.5</v>
      </c>
      <c r="X216">
        <v>132.4</v>
      </c>
      <c r="Y216">
        <v>136.19999999999999</v>
      </c>
      <c r="Z216">
        <v>137.30000000000001</v>
      </c>
      <c r="AA216">
        <v>118.8</v>
      </c>
      <c r="AB216">
        <v>131.69999999999999</v>
      </c>
      <c r="AC216">
        <v>146.5</v>
      </c>
      <c r="AD216">
        <v>130.80000000000001</v>
      </c>
      <c r="AE216">
        <v>131.69999999999999</v>
      </c>
      <c r="AF216">
        <v>138</v>
      </c>
    </row>
    <row r="217" spans="1:32">
      <c r="A217" t="s">
        <v>35</v>
      </c>
      <c r="B217">
        <v>2018</v>
      </c>
      <c r="C217" t="s">
        <v>55</v>
      </c>
      <c r="D217">
        <v>12</v>
      </c>
      <c r="E217" s="1">
        <v>43435</v>
      </c>
      <c r="F217">
        <v>137.5</v>
      </c>
      <c r="G217">
        <v>150.5</v>
      </c>
      <c r="H217">
        <v>138.80000000000001</v>
      </c>
      <c r="I217">
        <v>142.1</v>
      </c>
      <c r="J217">
        <v>122</v>
      </c>
      <c r="K217">
        <v>139.4</v>
      </c>
      <c r="L217">
        <v>135.19999999999999</v>
      </c>
      <c r="M217">
        <v>119.8</v>
      </c>
      <c r="N217">
        <v>110.3</v>
      </c>
      <c r="O217">
        <v>140.6</v>
      </c>
      <c r="P217">
        <v>133.80000000000001</v>
      </c>
      <c r="Q217">
        <v>154.6</v>
      </c>
      <c r="R217">
        <v>138.19999999999999</v>
      </c>
      <c r="S217">
        <v>163</v>
      </c>
      <c r="T217">
        <v>148.1</v>
      </c>
      <c r="U217">
        <v>139.4</v>
      </c>
      <c r="V217">
        <v>146.80000000000001</v>
      </c>
      <c r="W217">
        <v>146.5</v>
      </c>
      <c r="X217">
        <v>142.69999999999999</v>
      </c>
      <c r="Y217">
        <v>143.19999999999999</v>
      </c>
      <c r="Z217">
        <v>144.9</v>
      </c>
      <c r="AA217">
        <v>123.6</v>
      </c>
      <c r="AB217">
        <v>136.80000000000001</v>
      </c>
      <c r="AC217">
        <v>150.1</v>
      </c>
      <c r="AD217">
        <v>132.19999999999999</v>
      </c>
      <c r="AE217">
        <v>136.80000000000001</v>
      </c>
      <c r="AF217">
        <v>140.1</v>
      </c>
    </row>
    <row r="218" spans="1:32">
      <c r="A218" t="s">
        <v>30</v>
      </c>
      <c r="B218">
        <v>2019</v>
      </c>
      <c r="C218" t="s">
        <v>31</v>
      </c>
      <c r="D218">
        <v>1</v>
      </c>
      <c r="E218" s="1">
        <v>43466</v>
      </c>
      <c r="F218">
        <v>136.6</v>
      </c>
      <c r="G218">
        <v>152.5</v>
      </c>
      <c r="H218">
        <v>138.19999999999999</v>
      </c>
      <c r="I218">
        <v>142.4</v>
      </c>
      <c r="J218">
        <v>123.9</v>
      </c>
      <c r="K218">
        <v>135.5</v>
      </c>
      <c r="L218">
        <v>131.69999999999999</v>
      </c>
      <c r="M218">
        <v>121.3</v>
      </c>
      <c r="N218">
        <v>108.4</v>
      </c>
      <c r="O218">
        <v>138.9</v>
      </c>
      <c r="P218">
        <v>137</v>
      </c>
      <c r="Q218">
        <v>155.80000000000001</v>
      </c>
      <c r="R218">
        <v>137.4</v>
      </c>
      <c r="S218">
        <v>162.69999999999999</v>
      </c>
      <c r="T218">
        <v>150.6</v>
      </c>
      <c r="U218">
        <v>145.1</v>
      </c>
      <c r="V218">
        <v>149.9</v>
      </c>
      <c r="X218">
        <v>146.19999999999999</v>
      </c>
      <c r="Y218">
        <v>150.1</v>
      </c>
      <c r="Z218">
        <v>149.6</v>
      </c>
      <c r="AA218">
        <v>128.6</v>
      </c>
      <c r="AB218">
        <v>142.9</v>
      </c>
      <c r="AC218">
        <v>155.19999999999999</v>
      </c>
      <c r="AD218">
        <v>133.5</v>
      </c>
      <c r="AE218">
        <v>141.69999999999999</v>
      </c>
      <c r="AF218">
        <v>141</v>
      </c>
    </row>
    <row r="219" spans="1:32">
      <c r="A219" t="s">
        <v>33</v>
      </c>
      <c r="B219">
        <v>2019</v>
      </c>
      <c r="C219" t="s">
        <v>31</v>
      </c>
      <c r="D219">
        <v>1</v>
      </c>
      <c r="E219" s="1">
        <v>43466</v>
      </c>
      <c r="F219">
        <v>138.30000000000001</v>
      </c>
      <c r="G219">
        <v>149.4</v>
      </c>
      <c r="H219">
        <v>143.5</v>
      </c>
      <c r="I219">
        <v>141.69999999999999</v>
      </c>
      <c r="J219">
        <v>118.1</v>
      </c>
      <c r="K219">
        <v>135.19999999999999</v>
      </c>
      <c r="L219">
        <v>130.5</v>
      </c>
      <c r="M219">
        <v>118.2</v>
      </c>
      <c r="N219">
        <v>110.4</v>
      </c>
      <c r="O219">
        <v>140.4</v>
      </c>
      <c r="P219">
        <v>128.1</v>
      </c>
      <c r="Q219">
        <v>153.19999999999999</v>
      </c>
      <c r="R219">
        <v>137.30000000000001</v>
      </c>
      <c r="S219">
        <v>164.7</v>
      </c>
      <c r="T219">
        <v>143</v>
      </c>
      <c r="U219">
        <v>130.4</v>
      </c>
      <c r="V219">
        <v>141.1</v>
      </c>
      <c r="W219">
        <v>147.69999999999999</v>
      </c>
      <c r="X219">
        <v>128.6</v>
      </c>
      <c r="Y219">
        <v>136.30000000000001</v>
      </c>
      <c r="Z219">
        <v>137.80000000000001</v>
      </c>
      <c r="AA219">
        <v>118.6</v>
      </c>
      <c r="AB219">
        <v>131.9</v>
      </c>
      <c r="AC219">
        <v>146.6</v>
      </c>
      <c r="AD219">
        <v>131.69999999999999</v>
      </c>
      <c r="AE219">
        <v>131.80000000000001</v>
      </c>
      <c r="AF219">
        <v>138</v>
      </c>
    </row>
    <row r="220" spans="1:32">
      <c r="A220" t="s">
        <v>35</v>
      </c>
      <c r="B220">
        <v>2019</v>
      </c>
      <c r="C220" t="s">
        <v>31</v>
      </c>
      <c r="D220">
        <v>1</v>
      </c>
      <c r="E220" s="1">
        <v>43466</v>
      </c>
      <c r="F220">
        <v>137.1</v>
      </c>
      <c r="G220">
        <v>151.4</v>
      </c>
      <c r="H220">
        <v>140.19999999999999</v>
      </c>
      <c r="I220">
        <v>142.1</v>
      </c>
      <c r="J220">
        <v>121.8</v>
      </c>
      <c r="K220">
        <v>135.4</v>
      </c>
      <c r="L220">
        <v>131.30000000000001</v>
      </c>
      <c r="M220">
        <v>120.3</v>
      </c>
      <c r="N220">
        <v>109.1</v>
      </c>
      <c r="O220">
        <v>139.4</v>
      </c>
      <c r="P220">
        <v>133.30000000000001</v>
      </c>
      <c r="Q220">
        <v>154.6</v>
      </c>
      <c r="R220">
        <v>137.4</v>
      </c>
      <c r="S220">
        <v>163.19999999999999</v>
      </c>
      <c r="T220">
        <v>147.6</v>
      </c>
      <c r="U220">
        <v>139</v>
      </c>
      <c r="V220">
        <v>146.4</v>
      </c>
      <c r="W220">
        <v>147.69999999999999</v>
      </c>
      <c r="X220">
        <v>139.5</v>
      </c>
      <c r="Y220">
        <v>143.6</v>
      </c>
      <c r="Z220">
        <v>145.1</v>
      </c>
      <c r="AA220">
        <v>123.3</v>
      </c>
      <c r="AB220">
        <v>136.69999999999999</v>
      </c>
      <c r="AC220">
        <v>150.19999999999999</v>
      </c>
      <c r="AD220">
        <v>132.80000000000001</v>
      </c>
      <c r="AE220">
        <v>136.9</v>
      </c>
      <c r="AF220">
        <v>139.6</v>
      </c>
    </row>
    <row r="221" spans="1:32">
      <c r="A221" t="s">
        <v>30</v>
      </c>
      <c r="B221">
        <v>2019</v>
      </c>
      <c r="C221" t="s">
        <v>36</v>
      </c>
      <c r="D221">
        <v>2</v>
      </c>
      <c r="E221" s="1">
        <v>43497</v>
      </c>
      <c r="F221">
        <v>136.80000000000001</v>
      </c>
      <c r="G221">
        <v>153</v>
      </c>
      <c r="H221">
        <v>139.1</v>
      </c>
      <c r="I221">
        <v>142.5</v>
      </c>
      <c r="J221">
        <v>124.1</v>
      </c>
      <c r="K221">
        <v>135.80000000000001</v>
      </c>
      <c r="L221">
        <v>128.69999999999999</v>
      </c>
      <c r="M221">
        <v>121.5</v>
      </c>
      <c r="N221">
        <v>108.3</v>
      </c>
      <c r="O221">
        <v>139.19999999999999</v>
      </c>
      <c r="P221">
        <v>137.4</v>
      </c>
      <c r="Q221">
        <v>156.19999999999999</v>
      </c>
      <c r="R221">
        <v>137.19999999999999</v>
      </c>
      <c r="S221">
        <v>162.80000000000001</v>
      </c>
      <c r="T221">
        <v>150.5</v>
      </c>
      <c r="U221">
        <v>146.1</v>
      </c>
      <c r="V221">
        <v>149.9</v>
      </c>
      <c r="X221">
        <v>145.30000000000001</v>
      </c>
      <c r="Y221">
        <v>150.1</v>
      </c>
      <c r="Z221">
        <v>149.9</v>
      </c>
      <c r="AA221">
        <v>129.19999999999999</v>
      </c>
      <c r="AB221">
        <v>143.4</v>
      </c>
      <c r="AC221">
        <v>155.5</v>
      </c>
      <c r="AD221">
        <v>134.9</v>
      </c>
      <c r="AE221">
        <v>142.19999999999999</v>
      </c>
      <c r="AF221">
        <v>141</v>
      </c>
    </row>
    <row r="222" spans="1:32">
      <c r="A222" t="s">
        <v>33</v>
      </c>
      <c r="B222">
        <v>2019</v>
      </c>
      <c r="C222" t="s">
        <v>36</v>
      </c>
      <c r="D222">
        <v>2</v>
      </c>
      <c r="E222" s="1">
        <v>43497</v>
      </c>
      <c r="F222">
        <v>139.4</v>
      </c>
      <c r="G222">
        <v>150.1</v>
      </c>
      <c r="H222">
        <v>145.30000000000001</v>
      </c>
      <c r="I222">
        <v>141.69999999999999</v>
      </c>
      <c r="J222">
        <v>118.4</v>
      </c>
      <c r="K222">
        <v>137</v>
      </c>
      <c r="L222">
        <v>131.6</v>
      </c>
      <c r="M222">
        <v>119.9</v>
      </c>
      <c r="N222">
        <v>110.4</v>
      </c>
      <c r="O222">
        <v>140.80000000000001</v>
      </c>
      <c r="P222">
        <v>128.30000000000001</v>
      </c>
      <c r="Q222">
        <v>153.5</v>
      </c>
      <c r="R222">
        <v>138</v>
      </c>
      <c r="S222">
        <v>164.9</v>
      </c>
      <c r="T222">
        <v>143.30000000000001</v>
      </c>
      <c r="U222">
        <v>130.80000000000001</v>
      </c>
      <c r="V222">
        <v>141.4</v>
      </c>
      <c r="W222">
        <v>148.5</v>
      </c>
      <c r="X222">
        <v>127.1</v>
      </c>
      <c r="Y222">
        <v>136.6</v>
      </c>
      <c r="Z222">
        <v>138.5</v>
      </c>
      <c r="AA222">
        <v>119.2</v>
      </c>
      <c r="AB222">
        <v>132.19999999999999</v>
      </c>
      <c r="AC222">
        <v>146.6</v>
      </c>
      <c r="AD222">
        <v>133</v>
      </c>
      <c r="AE222">
        <v>132.4</v>
      </c>
      <c r="AF222">
        <v>138.6</v>
      </c>
    </row>
    <row r="223" spans="1:32">
      <c r="A223" t="s">
        <v>35</v>
      </c>
      <c r="B223">
        <v>2019</v>
      </c>
      <c r="C223" t="s">
        <v>36</v>
      </c>
      <c r="D223">
        <v>2</v>
      </c>
      <c r="E223" s="1">
        <v>43497</v>
      </c>
      <c r="F223">
        <v>137.6</v>
      </c>
      <c r="G223">
        <v>152</v>
      </c>
      <c r="H223">
        <v>141.5</v>
      </c>
      <c r="I223">
        <v>142.19999999999999</v>
      </c>
      <c r="J223">
        <v>122</v>
      </c>
      <c r="K223">
        <v>136.4</v>
      </c>
      <c r="L223">
        <v>129.69999999999999</v>
      </c>
      <c r="M223">
        <v>121</v>
      </c>
      <c r="N223">
        <v>109</v>
      </c>
      <c r="O223">
        <v>139.69999999999999</v>
      </c>
      <c r="P223">
        <v>133.6</v>
      </c>
      <c r="Q223">
        <v>154.9</v>
      </c>
      <c r="R223">
        <v>137.5</v>
      </c>
      <c r="S223">
        <v>163.4</v>
      </c>
      <c r="T223">
        <v>147.69999999999999</v>
      </c>
      <c r="U223">
        <v>139.69999999999999</v>
      </c>
      <c r="V223">
        <v>146.5</v>
      </c>
      <c r="W223">
        <v>148.5</v>
      </c>
      <c r="X223">
        <v>138.4</v>
      </c>
      <c r="Y223">
        <v>143.69999999999999</v>
      </c>
      <c r="Z223">
        <v>145.6</v>
      </c>
      <c r="AA223">
        <v>123.9</v>
      </c>
      <c r="AB223">
        <v>137.1</v>
      </c>
      <c r="AC223">
        <v>150.30000000000001</v>
      </c>
      <c r="AD223">
        <v>134.1</v>
      </c>
      <c r="AE223">
        <v>137.4</v>
      </c>
      <c r="AF223">
        <v>139.9</v>
      </c>
    </row>
    <row r="224" spans="1:32">
      <c r="A224" t="s">
        <v>30</v>
      </c>
      <c r="B224">
        <v>2019</v>
      </c>
      <c r="C224" t="s">
        <v>38</v>
      </c>
      <c r="D224">
        <v>3</v>
      </c>
      <c r="E224" s="1">
        <v>43525</v>
      </c>
      <c r="F224">
        <v>136.9</v>
      </c>
      <c r="G224">
        <v>154.1</v>
      </c>
      <c r="H224">
        <v>138.69999999999999</v>
      </c>
      <c r="I224">
        <v>142.5</v>
      </c>
      <c r="J224">
        <v>124.1</v>
      </c>
      <c r="K224">
        <v>136.1</v>
      </c>
      <c r="L224">
        <v>128.19999999999999</v>
      </c>
      <c r="M224">
        <v>122.3</v>
      </c>
      <c r="N224">
        <v>108.3</v>
      </c>
      <c r="O224">
        <v>138.9</v>
      </c>
      <c r="P224">
        <v>137.4</v>
      </c>
      <c r="Q224">
        <v>156.4</v>
      </c>
      <c r="R224">
        <v>137.30000000000001</v>
      </c>
      <c r="S224">
        <v>162.9</v>
      </c>
      <c r="T224">
        <v>150.80000000000001</v>
      </c>
      <c r="U224">
        <v>146.1</v>
      </c>
      <c r="V224">
        <v>150.1</v>
      </c>
      <c r="X224">
        <v>146.4</v>
      </c>
      <c r="Y224">
        <v>150</v>
      </c>
      <c r="Z224">
        <v>150.4</v>
      </c>
      <c r="AA224">
        <v>129.9</v>
      </c>
      <c r="AB224">
        <v>143.80000000000001</v>
      </c>
      <c r="AC224">
        <v>155.5</v>
      </c>
      <c r="AD224">
        <v>134</v>
      </c>
      <c r="AE224">
        <v>142.4</v>
      </c>
      <c r="AF224">
        <v>141.19999999999999</v>
      </c>
    </row>
    <row r="225" spans="1:32">
      <c r="A225" t="s">
        <v>33</v>
      </c>
      <c r="B225">
        <v>2019</v>
      </c>
      <c r="C225" t="s">
        <v>38</v>
      </c>
      <c r="D225">
        <v>3</v>
      </c>
      <c r="E225" s="1">
        <v>43525</v>
      </c>
      <c r="F225">
        <v>139.69999999999999</v>
      </c>
      <c r="G225">
        <v>151.1</v>
      </c>
      <c r="H225">
        <v>142.9</v>
      </c>
      <c r="I225">
        <v>141.9</v>
      </c>
      <c r="J225">
        <v>118.4</v>
      </c>
      <c r="K225">
        <v>139.4</v>
      </c>
      <c r="L225">
        <v>141.19999999999999</v>
      </c>
      <c r="M225">
        <v>120.7</v>
      </c>
      <c r="N225">
        <v>110.4</v>
      </c>
      <c r="O225">
        <v>140.69999999999999</v>
      </c>
      <c r="P225">
        <v>128.5</v>
      </c>
      <c r="Q225">
        <v>153.9</v>
      </c>
      <c r="R225">
        <v>139.6</v>
      </c>
      <c r="S225">
        <v>165.3</v>
      </c>
      <c r="T225">
        <v>143.5</v>
      </c>
      <c r="U225">
        <v>131.19999999999999</v>
      </c>
      <c r="V225">
        <v>141.6</v>
      </c>
      <c r="W225">
        <v>149</v>
      </c>
      <c r="X225">
        <v>128.80000000000001</v>
      </c>
      <c r="Y225">
        <v>136.80000000000001</v>
      </c>
      <c r="Z225">
        <v>139.19999999999999</v>
      </c>
      <c r="AA225">
        <v>119.9</v>
      </c>
      <c r="AB225">
        <v>133</v>
      </c>
      <c r="AC225">
        <v>146.69999999999999</v>
      </c>
      <c r="AD225">
        <v>132.5</v>
      </c>
      <c r="AE225">
        <v>132.80000000000001</v>
      </c>
      <c r="AF225">
        <v>139.5</v>
      </c>
    </row>
    <row r="226" spans="1:32">
      <c r="A226" t="s">
        <v>35</v>
      </c>
      <c r="B226">
        <v>2019</v>
      </c>
      <c r="C226" t="s">
        <v>38</v>
      </c>
      <c r="D226">
        <v>3</v>
      </c>
      <c r="E226" s="1">
        <v>43525</v>
      </c>
      <c r="F226">
        <v>137.80000000000001</v>
      </c>
      <c r="G226">
        <v>153</v>
      </c>
      <c r="H226">
        <v>140.30000000000001</v>
      </c>
      <c r="I226">
        <v>142.30000000000001</v>
      </c>
      <c r="J226">
        <v>122</v>
      </c>
      <c r="K226">
        <v>137.6</v>
      </c>
      <c r="L226">
        <v>132.6</v>
      </c>
      <c r="M226">
        <v>121.8</v>
      </c>
      <c r="N226">
        <v>109</v>
      </c>
      <c r="O226">
        <v>139.5</v>
      </c>
      <c r="P226">
        <v>133.69999999999999</v>
      </c>
      <c r="Q226">
        <v>155.19999999999999</v>
      </c>
      <c r="R226">
        <v>138.1</v>
      </c>
      <c r="S226">
        <v>163.5</v>
      </c>
      <c r="T226">
        <v>147.9</v>
      </c>
      <c r="U226">
        <v>139.9</v>
      </c>
      <c r="V226">
        <v>146.69999999999999</v>
      </c>
      <c r="W226">
        <v>149</v>
      </c>
      <c r="X226">
        <v>139.69999999999999</v>
      </c>
      <c r="Y226">
        <v>143.80000000000001</v>
      </c>
      <c r="Z226">
        <v>146.19999999999999</v>
      </c>
      <c r="AA226">
        <v>124.6</v>
      </c>
      <c r="AB226">
        <v>137.69999999999999</v>
      </c>
      <c r="AC226">
        <v>150.30000000000001</v>
      </c>
      <c r="AD226">
        <v>133.4</v>
      </c>
      <c r="AE226">
        <v>137.69999999999999</v>
      </c>
      <c r="AF226">
        <v>140.4</v>
      </c>
    </row>
    <row r="227" spans="1:32">
      <c r="A227" t="s">
        <v>30</v>
      </c>
      <c r="B227">
        <v>2019</v>
      </c>
      <c r="C227" t="s">
        <v>41</v>
      </c>
      <c r="D227">
        <v>5</v>
      </c>
      <c r="E227" s="1">
        <v>43586</v>
      </c>
      <c r="F227">
        <v>137.4</v>
      </c>
      <c r="G227">
        <v>159.5</v>
      </c>
      <c r="H227">
        <v>134.5</v>
      </c>
      <c r="I227">
        <v>142.6</v>
      </c>
      <c r="J227">
        <v>124</v>
      </c>
      <c r="K227">
        <v>143.69999999999999</v>
      </c>
      <c r="L227">
        <v>133.4</v>
      </c>
      <c r="M227">
        <v>125.1</v>
      </c>
      <c r="N227">
        <v>109.3</v>
      </c>
      <c r="O227">
        <v>139.30000000000001</v>
      </c>
      <c r="P227">
        <v>137.69999999999999</v>
      </c>
      <c r="Q227">
        <v>156.4</v>
      </c>
      <c r="R227">
        <v>139.19999999999999</v>
      </c>
      <c r="S227">
        <v>163.30000000000001</v>
      </c>
      <c r="T227">
        <v>151.30000000000001</v>
      </c>
      <c r="U227">
        <v>146.6</v>
      </c>
      <c r="V227">
        <v>150.69999999999999</v>
      </c>
      <c r="X227">
        <v>146.9</v>
      </c>
      <c r="Y227">
        <v>149.5</v>
      </c>
      <c r="Z227">
        <v>151.30000000000001</v>
      </c>
      <c r="AA227">
        <v>130.19999999999999</v>
      </c>
      <c r="AB227">
        <v>145.9</v>
      </c>
      <c r="AC227">
        <v>156.69999999999999</v>
      </c>
      <c r="AD227">
        <v>133.9</v>
      </c>
      <c r="AE227">
        <v>142.9</v>
      </c>
      <c r="AF227">
        <v>142.4</v>
      </c>
    </row>
    <row r="228" spans="1:32">
      <c r="A228" t="s">
        <v>33</v>
      </c>
      <c r="B228">
        <v>2019</v>
      </c>
      <c r="C228" t="s">
        <v>41</v>
      </c>
      <c r="D228">
        <v>5</v>
      </c>
      <c r="E228" s="1">
        <v>43586</v>
      </c>
      <c r="F228">
        <v>140.4</v>
      </c>
      <c r="G228">
        <v>156.69999999999999</v>
      </c>
      <c r="H228">
        <v>138.30000000000001</v>
      </c>
      <c r="I228">
        <v>142.4</v>
      </c>
      <c r="J228">
        <v>118.6</v>
      </c>
      <c r="K228">
        <v>149.69999999999999</v>
      </c>
      <c r="L228">
        <v>161.6</v>
      </c>
      <c r="M228">
        <v>124.4</v>
      </c>
      <c r="N228">
        <v>111.2</v>
      </c>
      <c r="O228">
        <v>141</v>
      </c>
      <c r="P228">
        <v>128.9</v>
      </c>
      <c r="Q228">
        <v>154.5</v>
      </c>
      <c r="R228">
        <v>143.80000000000001</v>
      </c>
      <c r="S228">
        <v>166.2</v>
      </c>
      <c r="T228">
        <v>144</v>
      </c>
      <c r="U228">
        <v>131.69999999999999</v>
      </c>
      <c r="V228">
        <v>142.19999999999999</v>
      </c>
      <c r="W228">
        <v>150.1</v>
      </c>
      <c r="X228">
        <v>129.4</v>
      </c>
      <c r="Y228">
        <v>137.19999999999999</v>
      </c>
      <c r="Z228">
        <v>139.80000000000001</v>
      </c>
      <c r="AA228">
        <v>120.1</v>
      </c>
      <c r="AB228">
        <v>134</v>
      </c>
      <c r="AC228">
        <v>148</v>
      </c>
      <c r="AD228">
        <v>132.6</v>
      </c>
      <c r="AE228">
        <v>133.30000000000001</v>
      </c>
      <c r="AF228">
        <v>141.5</v>
      </c>
    </row>
    <row r="229" spans="1:32">
      <c r="A229" t="s">
        <v>35</v>
      </c>
      <c r="B229">
        <v>2019</v>
      </c>
      <c r="C229" t="s">
        <v>41</v>
      </c>
      <c r="D229">
        <v>5</v>
      </c>
      <c r="E229" s="1">
        <v>43586</v>
      </c>
      <c r="F229">
        <v>138.30000000000001</v>
      </c>
      <c r="G229">
        <v>158.5</v>
      </c>
      <c r="H229">
        <v>136</v>
      </c>
      <c r="I229">
        <v>142.5</v>
      </c>
      <c r="J229">
        <v>122</v>
      </c>
      <c r="K229">
        <v>146.5</v>
      </c>
      <c r="L229">
        <v>143</v>
      </c>
      <c r="M229">
        <v>124.9</v>
      </c>
      <c r="N229">
        <v>109.9</v>
      </c>
      <c r="O229">
        <v>139.9</v>
      </c>
      <c r="P229">
        <v>134</v>
      </c>
      <c r="Q229">
        <v>155.5</v>
      </c>
      <c r="R229">
        <v>140.9</v>
      </c>
      <c r="S229">
        <v>164.1</v>
      </c>
      <c r="T229">
        <v>148.4</v>
      </c>
      <c r="U229">
        <v>140.4</v>
      </c>
      <c r="V229">
        <v>147.30000000000001</v>
      </c>
      <c r="W229">
        <v>150.1</v>
      </c>
      <c r="X229">
        <v>140.30000000000001</v>
      </c>
      <c r="Y229">
        <v>143.69999999999999</v>
      </c>
      <c r="Z229">
        <v>146.9</v>
      </c>
      <c r="AA229">
        <v>124.9</v>
      </c>
      <c r="AB229">
        <v>139.19999999999999</v>
      </c>
      <c r="AC229">
        <v>151.6</v>
      </c>
      <c r="AD229">
        <v>133.4</v>
      </c>
      <c r="AE229">
        <v>138.19999999999999</v>
      </c>
      <c r="AF229">
        <v>142</v>
      </c>
    </row>
    <row r="230" spans="1:32">
      <c r="A230" t="s">
        <v>30</v>
      </c>
      <c r="B230">
        <v>2019</v>
      </c>
      <c r="C230" t="s">
        <v>42</v>
      </c>
      <c r="D230">
        <v>6</v>
      </c>
      <c r="E230" s="1">
        <v>43617</v>
      </c>
      <c r="F230">
        <v>137.80000000000001</v>
      </c>
      <c r="G230">
        <v>163.5</v>
      </c>
      <c r="H230">
        <v>136.19999999999999</v>
      </c>
      <c r="I230">
        <v>143.19999999999999</v>
      </c>
      <c r="J230">
        <v>124.3</v>
      </c>
      <c r="K230">
        <v>143.30000000000001</v>
      </c>
      <c r="L230">
        <v>140.6</v>
      </c>
      <c r="M230">
        <v>128.69999999999999</v>
      </c>
      <c r="N230">
        <v>110.6</v>
      </c>
      <c r="O230">
        <v>140.4</v>
      </c>
      <c r="P230">
        <v>138</v>
      </c>
      <c r="Q230">
        <v>156.6</v>
      </c>
      <c r="R230">
        <v>141</v>
      </c>
      <c r="S230">
        <v>164.2</v>
      </c>
      <c r="T230">
        <v>151.4</v>
      </c>
      <c r="U230">
        <v>146.5</v>
      </c>
      <c r="V230">
        <v>150.69999999999999</v>
      </c>
      <c r="X230">
        <v>147.80000000000001</v>
      </c>
      <c r="Y230">
        <v>149.6</v>
      </c>
      <c r="Z230">
        <v>151.69999999999999</v>
      </c>
      <c r="AA230">
        <v>130.19999999999999</v>
      </c>
      <c r="AB230">
        <v>146.4</v>
      </c>
      <c r="AC230">
        <v>157.69999999999999</v>
      </c>
      <c r="AD230">
        <v>134.80000000000001</v>
      </c>
      <c r="AE230">
        <v>143.30000000000001</v>
      </c>
      <c r="AF230">
        <v>143.6</v>
      </c>
    </row>
    <row r="231" spans="1:32">
      <c r="A231" t="s">
        <v>33</v>
      </c>
      <c r="B231">
        <v>2019</v>
      </c>
      <c r="C231" t="s">
        <v>42</v>
      </c>
      <c r="D231">
        <v>6</v>
      </c>
      <c r="E231" s="1">
        <v>43617</v>
      </c>
      <c r="F231">
        <v>140.69999999999999</v>
      </c>
      <c r="G231">
        <v>159.6</v>
      </c>
      <c r="H231">
        <v>140.4</v>
      </c>
      <c r="I231">
        <v>143.4</v>
      </c>
      <c r="J231">
        <v>118.6</v>
      </c>
      <c r="K231">
        <v>150.9</v>
      </c>
      <c r="L231">
        <v>169.8</v>
      </c>
      <c r="M231">
        <v>127.4</v>
      </c>
      <c r="N231">
        <v>111.8</v>
      </c>
      <c r="O231">
        <v>141</v>
      </c>
      <c r="P231">
        <v>129</v>
      </c>
      <c r="Q231">
        <v>155.1</v>
      </c>
      <c r="R231">
        <v>145.6</v>
      </c>
      <c r="S231">
        <v>166.7</v>
      </c>
      <c r="T231">
        <v>144.30000000000001</v>
      </c>
      <c r="U231">
        <v>131.69999999999999</v>
      </c>
      <c r="V231">
        <v>142.4</v>
      </c>
      <c r="W231">
        <v>149.4</v>
      </c>
      <c r="X231">
        <v>130.5</v>
      </c>
      <c r="Y231">
        <v>137.4</v>
      </c>
      <c r="Z231">
        <v>140.30000000000001</v>
      </c>
      <c r="AA231">
        <v>119.6</v>
      </c>
      <c r="AB231">
        <v>134.30000000000001</v>
      </c>
      <c r="AC231">
        <v>148.9</v>
      </c>
      <c r="AD231">
        <v>133.69999999999999</v>
      </c>
      <c r="AE231">
        <v>133.6</v>
      </c>
      <c r="AF231">
        <v>142.1</v>
      </c>
    </row>
    <row r="232" spans="1:32">
      <c r="A232" t="s">
        <v>35</v>
      </c>
      <c r="B232">
        <v>2019</v>
      </c>
      <c r="C232" t="s">
        <v>42</v>
      </c>
      <c r="D232">
        <v>6</v>
      </c>
      <c r="E232" s="1">
        <v>43617</v>
      </c>
      <c r="F232">
        <v>138.69999999999999</v>
      </c>
      <c r="G232">
        <v>162.1</v>
      </c>
      <c r="H232">
        <v>137.80000000000001</v>
      </c>
      <c r="I232">
        <v>143.30000000000001</v>
      </c>
      <c r="J232">
        <v>122.2</v>
      </c>
      <c r="K232">
        <v>146.80000000000001</v>
      </c>
      <c r="L232">
        <v>150.5</v>
      </c>
      <c r="M232">
        <v>128.30000000000001</v>
      </c>
      <c r="N232">
        <v>111</v>
      </c>
      <c r="O232">
        <v>140.6</v>
      </c>
      <c r="P232">
        <v>134.19999999999999</v>
      </c>
      <c r="Q232">
        <v>155.9</v>
      </c>
      <c r="R232">
        <v>142.69999999999999</v>
      </c>
      <c r="S232">
        <v>164.9</v>
      </c>
      <c r="T232">
        <v>148.6</v>
      </c>
      <c r="U232">
        <v>140.4</v>
      </c>
      <c r="V232">
        <v>147.4</v>
      </c>
      <c r="W232">
        <v>149.4</v>
      </c>
      <c r="X232">
        <v>141.19999999999999</v>
      </c>
      <c r="Y232">
        <v>143.80000000000001</v>
      </c>
      <c r="Z232">
        <v>147.4</v>
      </c>
      <c r="AA232">
        <v>124.6</v>
      </c>
      <c r="AB232">
        <v>139.6</v>
      </c>
      <c r="AC232">
        <v>152.5</v>
      </c>
      <c r="AD232">
        <v>134.30000000000001</v>
      </c>
      <c r="AE232">
        <v>138.6</v>
      </c>
      <c r="AF232">
        <v>142.9</v>
      </c>
    </row>
    <row r="233" spans="1:32">
      <c r="A233" t="s">
        <v>30</v>
      </c>
      <c r="B233">
        <v>2019</v>
      </c>
      <c r="C233" t="s">
        <v>44</v>
      </c>
      <c r="D233">
        <v>7</v>
      </c>
      <c r="E233" s="1">
        <v>43647</v>
      </c>
      <c r="F233">
        <v>138.4</v>
      </c>
      <c r="G233">
        <v>164</v>
      </c>
      <c r="H233">
        <v>138.4</v>
      </c>
      <c r="I233">
        <v>143.9</v>
      </c>
      <c r="J233">
        <v>124.4</v>
      </c>
      <c r="K233">
        <v>146.4</v>
      </c>
      <c r="L233">
        <v>150.1</v>
      </c>
      <c r="M233">
        <v>130.6</v>
      </c>
      <c r="N233">
        <v>110.8</v>
      </c>
      <c r="O233">
        <v>141.69999999999999</v>
      </c>
      <c r="P233">
        <v>138.5</v>
      </c>
      <c r="Q233">
        <v>156.69999999999999</v>
      </c>
      <c r="R233">
        <v>143</v>
      </c>
      <c r="S233">
        <v>164.5</v>
      </c>
      <c r="T233">
        <v>151.6</v>
      </c>
      <c r="U233">
        <v>146.6</v>
      </c>
      <c r="V233">
        <v>150.9</v>
      </c>
      <c r="X233">
        <v>146.80000000000001</v>
      </c>
      <c r="Y233">
        <v>150</v>
      </c>
      <c r="Z233">
        <v>152.19999999999999</v>
      </c>
      <c r="AA233">
        <v>131.19999999999999</v>
      </c>
      <c r="AB233">
        <v>147.5</v>
      </c>
      <c r="AC233">
        <v>159.1</v>
      </c>
      <c r="AD233">
        <v>136.1</v>
      </c>
      <c r="AE233">
        <v>144.19999999999999</v>
      </c>
      <c r="AF233">
        <v>144.9</v>
      </c>
    </row>
    <row r="234" spans="1:32">
      <c r="A234" t="s">
        <v>33</v>
      </c>
      <c r="B234">
        <v>2019</v>
      </c>
      <c r="C234" t="s">
        <v>44</v>
      </c>
      <c r="D234">
        <v>7</v>
      </c>
      <c r="E234" s="1">
        <v>43647</v>
      </c>
      <c r="F234">
        <v>141.4</v>
      </c>
      <c r="G234">
        <v>160.19999999999999</v>
      </c>
      <c r="H234">
        <v>142.5</v>
      </c>
      <c r="I234">
        <v>144.1</v>
      </c>
      <c r="J234">
        <v>119.3</v>
      </c>
      <c r="K234">
        <v>154.69999999999999</v>
      </c>
      <c r="L234">
        <v>180.1</v>
      </c>
      <c r="M234">
        <v>128.9</v>
      </c>
      <c r="N234">
        <v>111.8</v>
      </c>
      <c r="O234">
        <v>141.6</v>
      </c>
      <c r="P234">
        <v>129.5</v>
      </c>
      <c r="Q234">
        <v>155.6</v>
      </c>
      <c r="R234">
        <v>147.69999999999999</v>
      </c>
      <c r="S234">
        <v>167.2</v>
      </c>
      <c r="T234">
        <v>144.69999999999999</v>
      </c>
      <c r="U234">
        <v>131.9</v>
      </c>
      <c r="V234">
        <v>142.69999999999999</v>
      </c>
      <c r="W234">
        <v>150.6</v>
      </c>
      <c r="X234">
        <v>127</v>
      </c>
      <c r="Y234">
        <v>137.69999999999999</v>
      </c>
      <c r="Z234">
        <v>140.80000000000001</v>
      </c>
      <c r="AA234">
        <v>120.6</v>
      </c>
      <c r="AB234">
        <v>135</v>
      </c>
      <c r="AC234">
        <v>150.4</v>
      </c>
      <c r="AD234">
        <v>135.1</v>
      </c>
      <c r="AE234">
        <v>134.5</v>
      </c>
      <c r="AF234">
        <v>143.30000000000001</v>
      </c>
    </row>
    <row r="235" spans="1:32">
      <c r="A235" t="s">
        <v>35</v>
      </c>
      <c r="B235">
        <v>2019</v>
      </c>
      <c r="C235" t="s">
        <v>44</v>
      </c>
      <c r="D235">
        <v>7</v>
      </c>
      <c r="E235" s="1">
        <v>43647</v>
      </c>
      <c r="F235">
        <v>139.30000000000001</v>
      </c>
      <c r="G235">
        <v>162.69999999999999</v>
      </c>
      <c r="H235">
        <v>140</v>
      </c>
      <c r="I235">
        <v>144</v>
      </c>
      <c r="J235">
        <v>122.5</v>
      </c>
      <c r="K235">
        <v>150.30000000000001</v>
      </c>
      <c r="L235">
        <v>160.30000000000001</v>
      </c>
      <c r="M235">
        <v>130</v>
      </c>
      <c r="N235">
        <v>111.1</v>
      </c>
      <c r="O235">
        <v>141.69999999999999</v>
      </c>
      <c r="P235">
        <v>134.69999999999999</v>
      </c>
      <c r="Q235">
        <v>156.19999999999999</v>
      </c>
      <c r="R235">
        <v>144.69999999999999</v>
      </c>
      <c r="S235">
        <v>165.2</v>
      </c>
      <c r="T235">
        <v>148.9</v>
      </c>
      <c r="U235">
        <v>140.5</v>
      </c>
      <c r="V235">
        <v>147.6</v>
      </c>
      <c r="W235">
        <v>150.6</v>
      </c>
      <c r="X235">
        <v>139.30000000000001</v>
      </c>
      <c r="Y235">
        <v>144.19999999999999</v>
      </c>
      <c r="Z235">
        <v>147.9</v>
      </c>
      <c r="AA235">
        <v>125.6</v>
      </c>
      <c r="AB235">
        <v>140.5</v>
      </c>
      <c r="AC235">
        <v>154</v>
      </c>
      <c r="AD235">
        <v>135.69999999999999</v>
      </c>
      <c r="AE235">
        <v>139.5</v>
      </c>
      <c r="AF235">
        <v>144.19999999999999</v>
      </c>
    </row>
    <row r="236" spans="1:32">
      <c r="A236" t="s">
        <v>30</v>
      </c>
      <c r="B236">
        <v>2019</v>
      </c>
      <c r="C236" t="s">
        <v>46</v>
      </c>
      <c r="D236">
        <v>8</v>
      </c>
      <c r="E236" s="1">
        <v>43678</v>
      </c>
      <c r="F236">
        <v>139.19999999999999</v>
      </c>
      <c r="G236">
        <v>161.9</v>
      </c>
      <c r="H236">
        <v>137.1</v>
      </c>
      <c r="I236">
        <v>144.6</v>
      </c>
      <c r="J236">
        <v>124.7</v>
      </c>
      <c r="K236">
        <v>145.5</v>
      </c>
      <c r="L236">
        <v>156.19999999999999</v>
      </c>
      <c r="M236">
        <v>131.5</v>
      </c>
      <c r="N236">
        <v>111.7</v>
      </c>
      <c r="O236">
        <v>142.69999999999999</v>
      </c>
      <c r="P236">
        <v>138.5</v>
      </c>
      <c r="Q236">
        <v>156.9</v>
      </c>
      <c r="R236">
        <v>144</v>
      </c>
      <c r="S236">
        <v>165.1</v>
      </c>
      <c r="T236">
        <v>151.80000000000001</v>
      </c>
      <c r="U236">
        <v>146.6</v>
      </c>
      <c r="V236">
        <v>151.1</v>
      </c>
      <c r="X236">
        <v>146.4</v>
      </c>
      <c r="Y236">
        <v>150.19999999999999</v>
      </c>
      <c r="Z236">
        <v>152.69999999999999</v>
      </c>
      <c r="AA236">
        <v>131.4</v>
      </c>
      <c r="AB236">
        <v>148</v>
      </c>
      <c r="AC236">
        <v>159.69999999999999</v>
      </c>
      <c r="AD236">
        <v>138.80000000000001</v>
      </c>
      <c r="AE236">
        <v>144.9</v>
      </c>
      <c r="AF236">
        <v>145.69999999999999</v>
      </c>
    </row>
    <row r="237" spans="1:32">
      <c r="A237" t="s">
        <v>33</v>
      </c>
      <c r="B237">
        <v>2019</v>
      </c>
      <c r="C237" t="s">
        <v>46</v>
      </c>
      <c r="D237">
        <v>8</v>
      </c>
      <c r="E237" s="1">
        <v>43678</v>
      </c>
      <c r="F237">
        <v>142.1</v>
      </c>
      <c r="G237">
        <v>158.30000000000001</v>
      </c>
      <c r="H237">
        <v>140.80000000000001</v>
      </c>
      <c r="I237">
        <v>144.9</v>
      </c>
      <c r="J237">
        <v>119.9</v>
      </c>
      <c r="K237">
        <v>153.9</v>
      </c>
      <c r="L237">
        <v>189.1</v>
      </c>
      <c r="M237">
        <v>129.80000000000001</v>
      </c>
      <c r="N237">
        <v>112.7</v>
      </c>
      <c r="O237">
        <v>142.5</v>
      </c>
      <c r="P237">
        <v>129.80000000000001</v>
      </c>
      <c r="Q237">
        <v>156.19999999999999</v>
      </c>
      <c r="R237">
        <v>149.1</v>
      </c>
      <c r="S237">
        <v>167.9</v>
      </c>
      <c r="T237">
        <v>145</v>
      </c>
      <c r="U237">
        <v>132.19999999999999</v>
      </c>
      <c r="V237">
        <v>143</v>
      </c>
      <c r="W237">
        <v>151.6</v>
      </c>
      <c r="X237">
        <v>125.5</v>
      </c>
      <c r="Y237">
        <v>138.1</v>
      </c>
      <c r="Z237">
        <v>141.5</v>
      </c>
      <c r="AA237">
        <v>120.8</v>
      </c>
      <c r="AB237">
        <v>135.4</v>
      </c>
      <c r="AC237">
        <v>151.5</v>
      </c>
      <c r="AD237">
        <v>137.80000000000001</v>
      </c>
      <c r="AE237">
        <v>135.30000000000001</v>
      </c>
      <c r="AF237">
        <v>144.19999999999999</v>
      </c>
    </row>
    <row r="238" spans="1:32">
      <c r="A238" t="s">
        <v>35</v>
      </c>
      <c r="B238">
        <v>2019</v>
      </c>
      <c r="C238" t="s">
        <v>46</v>
      </c>
      <c r="D238">
        <v>8</v>
      </c>
      <c r="E238" s="1">
        <v>43678</v>
      </c>
      <c r="F238">
        <v>140.1</v>
      </c>
      <c r="G238">
        <v>160.6</v>
      </c>
      <c r="H238">
        <v>138.5</v>
      </c>
      <c r="I238">
        <v>144.69999999999999</v>
      </c>
      <c r="J238">
        <v>122.9</v>
      </c>
      <c r="K238">
        <v>149.4</v>
      </c>
      <c r="L238">
        <v>167.4</v>
      </c>
      <c r="M238">
        <v>130.9</v>
      </c>
      <c r="N238">
        <v>112</v>
      </c>
      <c r="O238">
        <v>142.6</v>
      </c>
      <c r="P238">
        <v>134.9</v>
      </c>
      <c r="Q238">
        <v>156.6</v>
      </c>
      <c r="R238">
        <v>145.9</v>
      </c>
      <c r="S238">
        <v>165.8</v>
      </c>
      <c r="T238">
        <v>149.1</v>
      </c>
      <c r="U238">
        <v>140.6</v>
      </c>
      <c r="V238">
        <v>147.9</v>
      </c>
      <c r="W238">
        <v>151.6</v>
      </c>
      <c r="X238">
        <v>138.5</v>
      </c>
      <c r="Y238">
        <v>144.5</v>
      </c>
      <c r="Z238">
        <v>148.5</v>
      </c>
      <c r="AA238">
        <v>125.8</v>
      </c>
      <c r="AB238">
        <v>140.9</v>
      </c>
      <c r="AC238">
        <v>154.9</v>
      </c>
      <c r="AD238">
        <v>138.4</v>
      </c>
      <c r="AE238">
        <v>140.19999999999999</v>
      </c>
      <c r="AF238">
        <v>145</v>
      </c>
    </row>
    <row r="239" spans="1:32">
      <c r="A239" t="s">
        <v>30</v>
      </c>
      <c r="B239">
        <v>2019</v>
      </c>
      <c r="C239" t="s">
        <v>48</v>
      </c>
      <c r="D239">
        <v>9</v>
      </c>
      <c r="E239" s="1">
        <v>43709</v>
      </c>
      <c r="F239">
        <v>140.1</v>
      </c>
      <c r="G239">
        <v>161.9</v>
      </c>
      <c r="H239">
        <v>138.30000000000001</v>
      </c>
      <c r="I239">
        <v>145.69999999999999</v>
      </c>
      <c r="J239">
        <v>125.1</v>
      </c>
      <c r="K239">
        <v>143.80000000000001</v>
      </c>
      <c r="L239">
        <v>163.4</v>
      </c>
      <c r="M239">
        <v>132.19999999999999</v>
      </c>
      <c r="N239">
        <v>112.8</v>
      </c>
      <c r="O239">
        <v>144.19999999999999</v>
      </c>
      <c r="P239">
        <v>138.5</v>
      </c>
      <c r="Q239">
        <v>157.19999999999999</v>
      </c>
      <c r="R239">
        <v>145.5</v>
      </c>
      <c r="S239">
        <v>165.7</v>
      </c>
      <c r="T239">
        <v>151.69999999999999</v>
      </c>
      <c r="U239">
        <v>146.6</v>
      </c>
      <c r="V239">
        <v>151</v>
      </c>
      <c r="X239">
        <v>146.9</v>
      </c>
      <c r="Y239">
        <v>150.30000000000001</v>
      </c>
      <c r="Z239">
        <v>153.4</v>
      </c>
      <c r="AA239">
        <v>131.6</v>
      </c>
      <c r="AB239">
        <v>148.30000000000001</v>
      </c>
      <c r="AC239">
        <v>160.19999999999999</v>
      </c>
      <c r="AD239">
        <v>140.19999999999999</v>
      </c>
      <c r="AE239">
        <v>145.4</v>
      </c>
      <c r="AF239">
        <v>146.69999999999999</v>
      </c>
    </row>
    <row r="240" spans="1:32">
      <c r="A240" t="s">
        <v>33</v>
      </c>
      <c r="B240">
        <v>2019</v>
      </c>
      <c r="C240" t="s">
        <v>48</v>
      </c>
      <c r="D240">
        <v>9</v>
      </c>
      <c r="E240" s="1">
        <v>43709</v>
      </c>
      <c r="F240">
        <v>142.69999999999999</v>
      </c>
      <c r="G240">
        <v>158.69999999999999</v>
      </c>
      <c r="H240">
        <v>141.6</v>
      </c>
      <c r="I240">
        <v>144.9</v>
      </c>
      <c r="J240">
        <v>120.8</v>
      </c>
      <c r="K240">
        <v>149.80000000000001</v>
      </c>
      <c r="L240">
        <v>192.4</v>
      </c>
      <c r="M240">
        <v>130.30000000000001</v>
      </c>
      <c r="N240">
        <v>114</v>
      </c>
      <c r="O240">
        <v>143.80000000000001</v>
      </c>
      <c r="P240">
        <v>130</v>
      </c>
      <c r="Q240">
        <v>156.4</v>
      </c>
      <c r="R240">
        <v>149.5</v>
      </c>
      <c r="S240">
        <v>168.6</v>
      </c>
      <c r="T240">
        <v>145.30000000000001</v>
      </c>
      <c r="U240">
        <v>132.19999999999999</v>
      </c>
      <c r="V240">
        <v>143.30000000000001</v>
      </c>
      <c r="W240">
        <v>152.19999999999999</v>
      </c>
      <c r="X240">
        <v>126.6</v>
      </c>
      <c r="Y240">
        <v>138.30000000000001</v>
      </c>
      <c r="Z240">
        <v>141.9</v>
      </c>
      <c r="AA240">
        <v>121.2</v>
      </c>
      <c r="AB240">
        <v>135.9</v>
      </c>
      <c r="AC240">
        <v>151.6</v>
      </c>
      <c r="AD240">
        <v>139</v>
      </c>
      <c r="AE240">
        <v>135.69999999999999</v>
      </c>
      <c r="AF240">
        <v>144.69999999999999</v>
      </c>
    </row>
    <row r="241" spans="1:32">
      <c r="A241" t="s">
        <v>35</v>
      </c>
      <c r="B241">
        <v>2019</v>
      </c>
      <c r="C241" t="s">
        <v>48</v>
      </c>
      <c r="D241">
        <v>9</v>
      </c>
      <c r="E241" s="1">
        <v>43709</v>
      </c>
      <c r="F241">
        <v>140.9</v>
      </c>
      <c r="G241">
        <v>160.80000000000001</v>
      </c>
      <c r="H241">
        <v>139.6</v>
      </c>
      <c r="I241">
        <v>145.4</v>
      </c>
      <c r="J241">
        <v>123.5</v>
      </c>
      <c r="K241">
        <v>146.6</v>
      </c>
      <c r="L241">
        <v>173.2</v>
      </c>
      <c r="M241">
        <v>131.6</v>
      </c>
      <c r="N241">
        <v>113.2</v>
      </c>
      <c r="O241">
        <v>144.1</v>
      </c>
      <c r="P241">
        <v>135</v>
      </c>
      <c r="Q241">
        <v>156.80000000000001</v>
      </c>
      <c r="R241">
        <v>147</v>
      </c>
      <c r="S241">
        <v>166.5</v>
      </c>
      <c r="T241">
        <v>149.19999999999999</v>
      </c>
      <c r="U241">
        <v>140.6</v>
      </c>
      <c r="V241">
        <v>147.9</v>
      </c>
      <c r="W241">
        <v>152.19999999999999</v>
      </c>
      <c r="X241">
        <v>139.19999999999999</v>
      </c>
      <c r="Y241">
        <v>144.6</v>
      </c>
      <c r="Z241">
        <v>149</v>
      </c>
      <c r="AA241">
        <v>126.1</v>
      </c>
      <c r="AB241">
        <v>141.30000000000001</v>
      </c>
      <c r="AC241">
        <v>155.19999999999999</v>
      </c>
      <c r="AD241">
        <v>139.69999999999999</v>
      </c>
      <c r="AE241">
        <v>140.69999999999999</v>
      </c>
      <c r="AF241">
        <v>145.80000000000001</v>
      </c>
    </row>
    <row r="242" spans="1:32">
      <c r="A242" t="s">
        <v>30</v>
      </c>
      <c r="B242">
        <v>2019</v>
      </c>
      <c r="C242" t="s">
        <v>50</v>
      </c>
      <c r="D242">
        <v>10</v>
      </c>
      <c r="E242" s="1">
        <v>43739</v>
      </c>
      <c r="F242">
        <v>141</v>
      </c>
      <c r="G242">
        <v>161.6</v>
      </c>
      <c r="H242">
        <v>141.19999999999999</v>
      </c>
      <c r="I242">
        <v>146.5</v>
      </c>
      <c r="J242">
        <v>125.6</v>
      </c>
      <c r="K242">
        <v>145.69999999999999</v>
      </c>
      <c r="L242">
        <v>178.8</v>
      </c>
      <c r="M242">
        <v>133.1</v>
      </c>
      <c r="N242">
        <v>113.6</v>
      </c>
      <c r="O242">
        <v>145.5</v>
      </c>
      <c r="P242">
        <v>138.6</v>
      </c>
      <c r="Q242">
        <v>157.4</v>
      </c>
      <c r="R242">
        <v>148.30000000000001</v>
      </c>
      <c r="S242">
        <v>166.3</v>
      </c>
      <c r="T242">
        <v>151.69999999999999</v>
      </c>
      <c r="U242">
        <v>146.69999999999999</v>
      </c>
      <c r="V242">
        <v>151</v>
      </c>
      <c r="X242">
        <v>147.69999999999999</v>
      </c>
      <c r="Y242">
        <v>150.6</v>
      </c>
      <c r="Z242">
        <v>153.69999999999999</v>
      </c>
      <c r="AA242">
        <v>131.69999999999999</v>
      </c>
      <c r="AB242">
        <v>148.69999999999999</v>
      </c>
      <c r="AC242">
        <v>160.69999999999999</v>
      </c>
      <c r="AD242">
        <v>140.30000000000001</v>
      </c>
      <c r="AE242">
        <v>145.69999999999999</v>
      </c>
      <c r="AF242">
        <v>148.30000000000001</v>
      </c>
    </row>
    <row r="243" spans="1:32">
      <c r="A243" t="s">
        <v>33</v>
      </c>
      <c r="B243">
        <v>2019</v>
      </c>
      <c r="C243" t="s">
        <v>50</v>
      </c>
      <c r="D243">
        <v>10</v>
      </c>
      <c r="E243" s="1">
        <v>43739</v>
      </c>
      <c r="F243">
        <v>143.5</v>
      </c>
      <c r="G243">
        <v>159.80000000000001</v>
      </c>
      <c r="H243">
        <v>144.69999999999999</v>
      </c>
      <c r="I243">
        <v>145.6</v>
      </c>
      <c r="J243">
        <v>121.1</v>
      </c>
      <c r="K243">
        <v>150.6</v>
      </c>
      <c r="L243">
        <v>207.2</v>
      </c>
      <c r="M243">
        <v>131.19999999999999</v>
      </c>
      <c r="N243">
        <v>114.8</v>
      </c>
      <c r="O243">
        <v>145.19999999999999</v>
      </c>
      <c r="P243">
        <v>130.19999999999999</v>
      </c>
      <c r="Q243">
        <v>156.80000000000001</v>
      </c>
      <c r="R243">
        <v>151.9</v>
      </c>
      <c r="S243">
        <v>169.3</v>
      </c>
      <c r="T243">
        <v>145.9</v>
      </c>
      <c r="U243">
        <v>132.4</v>
      </c>
      <c r="V243">
        <v>143.9</v>
      </c>
      <c r="W243">
        <v>153</v>
      </c>
      <c r="X243">
        <v>128.9</v>
      </c>
      <c r="Y243">
        <v>138.69999999999999</v>
      </c>
      <c r="Z243">
        <v>142.4</v>
      </c>
      <c r="AA243">
        <v>121.5</v>
      </c>
      <c r="AB243">
        <v>136.19999999999999</v>
      </c>
      <c r="AC243">
        <v>151.69999999999999</v>
      </c>
      <c r="AD243">
        <v>139.5</v>
      </c>
      <c r="AE243">
        <v>136</v>
      </c>
      <c r="AF243">
        <v>146</v>
      </c>
    </row>
    <row r="244" spans="1:32">
      <c r="A244" t="s">
        <v>35</v>
      </c>
      <c r="B244">
        <v>2019</v>
      </c>
      <c r="C244" t="s">
        <v>50</v>
      </c>
      <c r="D244">
        <v>10</v>
      </c>
      <c r="E244" s="1">
        <v>43739</v>
      </c>
      <c r="F244">
        <v>141.80000000000001</v>
      </c>
      <c r="G244">
        <v>161</v>
      </c>
      <c r="H244">
        <v>142.6</v>
      </c>
      <c r="I244">
        <v>146.19999999999999</v>
      </c>
      <c r="J244">
        <v>123.9</v>
      </c>
      <c r="K244">
        <v>148</v>
      </c>
      <c r="L244">
        <v>188.4</v>
      </c>
      <c r="M244">
        <v>132.5</v>
      </c>
      <c r="N244">
        <v>114</v>
      </c>
      <c r="O244">
        <v>145.4</v>
      </c>
      <c r="P244">
        <v>135.1</v>
      </c>
      <c r="Q244">
        <v>157.1</v>
      </c>
      <c r="R244">
        <v>149.6</v>
      </c>
      <c r="S244">
        <v>167.1</v>
      </c>
      <c r="T244">
        <v>149.4</v>
      </c>
      <c r="U244">
        <v>140.80000000000001</v>
      </c>
      <c r="V244">
        <v>148.19999999999999</v>
      </c>
      <c r="W244">
        <v>153</v>
      </c>
      <c r="X244">
        <v>140.6</v>
      </c>
      <c r="Y244">
        <v>145</v>
      </c>
      <c r="Z244">
        <v>149.4</v>
      </c>
      <c r="AA244">
        <v>126.3</v>
      </c>
      <c r="AB244">
        <v>141.69999999999999</v>
      </c>
      <c r="AC244">
        <v>155.4</v>
      </c>
      <c r="AD244">
        <v>140</v>
      </c>
      <c r="AE244">
        <v>141</v>
      </c>
      <c r="AF244">
        <v>147.19999999999999</v>
      </c>
    </row>
    <row r="245" spans="1:32">
      <c r="A245" t="s">
        <v>30</v>
      </c>
      <c r="B245">
        <v>2019</v>
      </c>
      <c r="C245" t="s">
        <v>53</v>
      </c>
      <c r="D245">
        <v>11</v>
      </c>
      <c r="E245" s="1">
        <v>43770</v>
      </c>
      <c r="F245">
        <v>141.80000000000001</v>
      </c>
      <c r="G245">
        <v>163.69999999999999</v>
      </c>
      <c r="H245">
        <v>143.80000000000001</v>
      </c>
      <c r="I245">
        <v>147.1</v>
      </c>
      <c r="J245">
        <v>126</v>
      </c>
      <c r="K245">
        <v>146.19999999999999</v>
      </c>
      <c r="L245">
        <v>191.4</v>
      </c>
      <c r="M245">
        <v>136.19999999999999</v>
      </c>
      <c r="N245">
        <v>113.8</v>
      </c>
      <c r="O245">
        <v>147.30000000000001</v>
      </c>
      <c r="P245">
        <v>138.69999999999999</v>
      </c>
      <c r="Q245">
        <v>157.69999999999999</v>
      </c>
      <c r="R245">
        <v>150.9</v>
      </c>
      <c r="S245">
        <v>167.2</v>
      </c>
      <c r="T245">
        <v>152.30000000000001</v>
      </c>
      <c r="U245">
        <v>147</v>
      </c>
      <c r="V245">
        <v>151.5</v>
      </c>
      <c r="X245">
        <v>148.4</v>
      </c>
      <c r="Y245">
        <v>150.9</v>
      </c>
      <c r="Z245">
        <v>154.30000000000001</v>
      </c>
      <c r="AA245">
        <v>132.1</v>
      </c>
      <c r="AB245">
        <v>149.1</v>
      </c>
      <c r="AC245">
        <v>160.80000000000001</v>
      </c>
      <c r="AD245">
        <v>140.6</v>
      </c>
      <c r="AE245">
        <v>146.1</v>
      </c>
      <c r="AF245">
        <v>149.9</v>
      </c>
    </row>
    <row r="246" spans="1:32">
      <c r="A246" t="s">
        <v>33</v>
      </c>
      <c r="B246">
        <v>2019</v>
      </c>
      <c r="C246" t="s">
        <v>53</v>
      </c>
      <c r="D246">
        <v>11</v>
      </c>
      <c r="E246" s="1">
        <v>43770</v>
      </c>
      <c r="F246">
        <v>144.1</v>
      </c>
      <c r="G246">
        <v>162.4</v>
      </c>
      <c r="H246">
        <v>148.4</v>
      </c>
      <c r="I246">
        <v>145.9</v>
      </c>
      <c r="J246">
        <v>121.5</v>
      </c>
      <c r="K246">
        <v>148.80000000000001</v>
      </c>
      <c r="L246">
        <v>215.7</v>
      </c>
      <c r="M246">
        <v>134.6</v>
      </c>
      <c r="N246">
        <v>115</v>
      </c>
      <c r="O246">
        <v>146.30000000000001</v>
      </c>
      <c r="P246">
        <v>130.5</v>
      </c>
      <c r="Q246">
        <v>157.19999999999999</v>
      </c>
      <c r="R246">
        <v>153.6</v>
      </c>
      <c r="S246">
        <v>169.9</v>
      </c>
      <c r="T246">
        <v>146.30000000000001</v>
      </c>
      <c r="U246">
        <v>132.6</v>
      </c>
      <c r="V246">
        <v>144.19999999999999</v>
      </c>
      <c r="W246">
        <v>153.5</v>
      </c>
      <c r="X246">
        <v>132.19999999999999</v>
      </c>
      <c r="Y246">
        <v>139.1</v>
      </c>
      <c r="Z246">
        <v>142.80000000000001</v>
      </c>
      <c r="AA246">
        <v>121.7</v>
      </c>
      <c r="AB246">
        <v>136.69999999999999</v>
      </c>
      <c r="AC246">
        <v>151.80000000000001</v>
      </c>
      <c r="AD246">
        <v>139.80000000000001</v>
      </c>
      <c r="AE246">
        <v>136.30000000000001</v>
      </c>
      <c r="AF246">
        <v>147</v>
      </c>
    </row>
    <row r="247" spans="1:32">
      <c r="A247" t="s">
        <v>35</v>
      </c>
      <c r="B247">
        <v>2019</v>
      </c>
      <c r="C247" t="s">
        <v>53</v>
      </c>
      <c r="D247">
        <v>11</v>
      </c>
      <c r="E247" s="1">
        <v>43770</v>
      </c>
      <c r="F247">
        <v>142.5</v>
      </c>
      <c r="G247">
        <v>163.19999999999999</v>
      </c>
      <c r="H247">
        <v>145.6</v>
      </c>
      <c r="I247">
        <v>146.69999999999999</v>
      </c>
      <c r="J247">
        <v>124.3</v>
      </c>
      <c r="K247">
        <v>147.4</v>
      </c>
      <c r="L247">
        <v>199.6</v>
      </c>
      <c r="M247">
        <v>135.69999999999999</v>
      </c>
      <c r="N247">
        <v>114.2</v>
      </c>
      <c r="O247">
        <v>147</v>
      </c>
      <c r="P247">
        <v>135.30000000000001</v>
      </c>
      <c r="Q247">
        <v>157.5</v>
      </c>
      <c r="R247">
        <v>151.9</v>
      </c>
      <c r="S247">
        <v>167.9</v>
      </c>
      <c r="T247">
        <v>149.9</v>
      </c>
      <c r="U247">
        <v>141</v>
      </c>
      <c r="V247">
        <v>148.6</v>
      </c>
      <c r="W247">
        <v>153.5</v>
      </c>
      <c r="X247">
        <v>142.30000000000001</v>
      </c>
      <c r="Y247">
        <v>145.30000000000001</v>
      </c>
      <c r="Z247">
        <v>149.9</v>
      </c>
      <c r="AA247">
        <v>126.6</v>
      </c>
      <c r="AB247">
        <v>142.1</v>
      </c>
      <c r="AC247">
        <v>155.5</v>
      </c>
      <c r="AD247">
        <v>140.30000000000001</v>
      </c>
      <c r="AE247">
        <v>141.30000000000001</v>
      </c>
      <c r="AF247">
        <v>148.6</v>
      </c>
    </row>
    <row r="248" spans="1:32">
      <c r="A248" t="s">
        <v>30</v>
      </c>
      <c r="B248">
        <v>2019</v>
      </c>
      <c r="C248" t="s">
        <v>55</v>
      </c>
      <c r="D248">
        <v>12</v>
      </c>
      <c r="E248" s="1">
        <v>43800</v>
      </c>
      <c r="F248">
        <v>142.80000000000001</v>
      </c>
      <c r="G248">
        <v>165.3</v>
      </c>
      <c r="H248">
        <v>149.5</v>
      </c>
      <c r="I248">
        <v>148.69999999999999</v>
      </c>
      <c r="J248">
        <v>127.5</v>
      </c>
      <c r="K248">
        <v>144.30000000000001</v>
      </c>
      <c r="L248">
        <v>209.5</v>
      </c>
      <c r="M248">
        <v>138.80000000000001</v>
      </c>
      <c r="N248">
        <v>113.6</v>
      </c>
      <c r="O248">
        <v>149.1</v>
      </c>
      <c r="P248">
        <v>139.30000000000001</v>
      </c>
      <c r="Q248">
        <v>158.30000000000001</v>
      </c>
      <c r="R248">
        <v>154.30000000000001</v>
      </c>
      <c r="S248">
        <v>167.8</v>
      </c>
      <c r="T248">
        <v>152.6</v>
      </c>
      <c r="U248">
        <v>147.30000000000001</v>
      </c>
      <c r="V248">
        <v>151.9</v>
      </c>
      <c r="X248">
        <v>149.9</v>
      </c>
      <c r="Y248">
        <v>151.19999999999999</v>
      </c>
      <c r="Z248">
        <v>154.80000000000001</v>
      </c>
      <c r="AA248">
        <v>135</v>
      </c>
      <c r="AB248">
        <v>149.5</v>
      </c>
      <c r="AC248">
        <v>161.1</v>
      </c>
      <c r="AD248">
        <v>140.6</v>
      </c>
      <c r="AE248">
        <v>147.1</v>
      </c>
      <c r="AF248">
        <v>152.30000000000001</v>
      </c>
    </row>
    <row r="249" spans="1:32">
      <c r="A249" t="s">
        <v>33</v>
      </c>
      <c r="B249">
        <v>2019</v>
      </c>
      <c r="C249" t="s">
        <v>55</v>
      </c>
      <c r="D249">
        <v>12</v>
      </c>
      <c r="E249" s="1">
        <v>43800</v>
      </c>
      <c r="F249">
        <v>144.9</v>
      </c>
      <c r="G249">
        <v>164.5</v>
      </c>
      <c r="H249">
        <v>153.69999999999999</v>
      </c>
      <c r="I249">
        <v>147.5</v>
      </c>
      <c r="J249">
        <v>122.7</v>
      </c>
      <c r="K249">
        <v>147.19999999999999</v>
      </c>
      <c r="L249">
        <v>231.5</v>
      </c>
      <c r="M249">
        <v>137.19999999999999</v>
      </c>
      <c r="N249">
        <v>114.7</v>
      </c>
      <c r="O249">
        <v>148</v>
      </c>
      <c r="P249">
        <v>130.80000000000001</v>
      </c>
      <c r="Q249">
        <v>157.69999999999999</v>
      </c>
      <c r="R249">
        <v>156.30000000000001</v>
      </c>
      <c r="S249">
        <v>170.4</v>
      </c>
      <c r="T249">
        <v>146.80000000000001</v>
      </c>
      <c r="U249">
        <v>132.80000000000001</v>
      </c>
      <c r="V249">
        <v>144.6</v>
      </c>
      <c r="W249">
        <v>152.80000000000001</v>
      </c>
      <c r="X249">
        <v>133.6</v>
      </c>
      <c r="Y249">
        <v>139.80000000000001</v>
      </c>
      <c r="Z249">
        <v>143.19999999999999</v>
      </c>
      <c r="AA249">
        <v>125.2</v>
      </c>
      <c r="AB249">
        <v>136.80000000000001</v>
      </c>
      <c r="AC249">
        <v>151.9</v>
      </c>
      <c r="AD249">
        <v>140.19999999999999</v>
      </c>
      <c r="AE249">
        <v>137.69999999999999</v>
      </c>
      <c r="AF249">
        <v>148.30000000000001</v>
      </c>
    </row>
    <row r="250" spans="1:32">
      <c r="A250" t="s">
        <v>35</v>
      </c>
      <c r="B250">
        <v>2019</v>
      </c>
      <c r="C250" t="s">
        <v>55</v>
      </c>
      <c r="D250">
        <v>12</v>
      </c>
      <c r="E250" s="1">
        <v>43800</v>
      </c>
      <c r="F250">
        <v>143.5</v>
      </c>
      <c r="G250">
        <v>165</v>
      </c>
      <c r="H250">
        <v>151.1</v>
      </c>
      <c r="I250">
        <v>148.30000000000001</v>
      </c>
      <c r="J250">
        <v>125.7</v>
      </c>
      <c r="K250">
        <v>145.69999999999999</v>
      </c>
      <c r="L250">
        <v>217</v>
      </c>
      <c r="M250">
        <v>138.30000000000001</v>
      </c>
      <c r="N250">
        <v>114</v>
      </c>
      <c r="O250">
        <v>148.69999999999999</v>
      </c>
      <c r="P250">
        <v>135.80000000000001</v>
      </c>
      <c r="Q250">
        <v>158</v>
      </c>
      <c r="R250">
        <v>155</v>
      </c>
      <c r="S250">
        <v>168.5</v>
      </c>
      <c r="T250">
        <v>150.30000000000001</v>
      </c>
      <c r="U250">
        <v>141.30000000000001</v>
      </c>
      <c r="V250">
        <v>149</v>
      </c>
      <c r="W250">
        <v>152.80000000000001</v>
      </c>
      <c r="X250">
        <v>143.69999999999999</v>
      </c>
      <c r="Y250">
        <v>145.80000000000001</v>
      </c>
      <c r="Z250">
        <v>150.4</v>
      </c>
      <c r="AA250">
        <v>129.80000000000001</v>
      </c>
      <c r="AB250">
        <v>142.30000000000001</v>
      </c>
      <c r="AC250">
        <v>155.69999999999999</v>
      </c>
      <c r="AD250">
        <v>140.4</v>
      </c>
      <c r="AE250">
        <v>142.5</v>
      </c>
      <c r="AF250">
        <v>150.4</v>
      </c>
    </row>
    <row r="251" spans="1:32">
      <c r="A251" t="s">
        <v>30</v>
      </c>
      <c r="B251">
        <v>2020</v>
      </c>
      <c r="C251" t="s">
        <v>31</v>
      </c>
      <c r="D251">
        <v>1</v>
      </c>
      <c r="E251" s="1">
        <v>43831</v>
      </c>
      <c r="F251">
        <v>143.69999999999999</v>
      </c>
      <c r="G251">
        <v>167.3</v>
      </c>
      <c r="H251">
        <v>153.5</v>
      </c>
      <c r="I251">
        <v>150.5</v>
      </c>
      <c r="J251">
        <v>132</v>
      </c>
      <c r="K251">
        <v>142.19999999999999</v>
      </c>
      <c r="L251">
        <v>191.5</v>
      </c>
      <c r="M251">
        <v>141.1</v>
      </c>
      <c r="N251">
        <v>113.8</v>
      </c>
      <c r="O251">
        <v>151.6</v>
      </c>
      <c r="P251">
        <v>139.69999999999999</v>
      </c>
      <c r="Q251">
        <v>158.69999999999999</v>
      </c>
      <c r="R251">
        <v>153</v>
      </c>
      <c r="S251">
        <v>168.6</v>
      </c>
      <c r="T251">
        <v>152.80000000000001</v>
      </c>
      <c r="U251">
        <v>147.4</v>
      </c>
      <c r="V251">
        <v>152.1</v>
      </c>
      <c r="X251">
        <v>150.4</v>
      </c>
      <c r="Y251">
        <v>151.69999999999999</v>
      </c>
      <c r="Z251">
        <v>155.69999999999999</v>
      </c>
      <c r="AA251">
        <v>136.30000000000001</v>
      </c>
      <c r="AB251">
        <v>150.1</v>
      </c>
      <c r="AC251">
        <v>161.69999999999999</v>
      </c>
      <c r="AD251">
        <v>142.5</v>
      </c>
      <c r="AE251">
        <v>148.1</v>
      </c>
      <c r="AF251">
        <v>151.9</v>
      </c>
    </row>
    <row r="252" spans="1:32">
      <c r="A252" t="s">
        <v>33</v>
      </c>
      <c r="B252">
        <v>2020</v>
      </c>
      <c r="C252" t="s">
        <v>31</v>
      </c>
      <c r="D252">
        <v>1</v>
      </c>
      <c r="E252" s="1">
        <v>43831</v>
      </c>
      <c r="F252">
        <v>145.6</v>
      </c>
      <c r="G252">
        <v>167.6</v>
      </c>
      <c r="H252">
        <v>157</v>
      </c>
      <c r="I252">
        <v>149.30000000000001</v>
      </c>
      <c r="J252">
        <v>126.3</v>
      </c>
      <c r="K252">
        <v>144.4</v>
      </c>
      <c r="L252">
        <v>207.8</v>
      </c>
      <c r="M252">
        <v>139.1</v>
      </c>
      <c r="N252">
        <v>114.8</v>
      </c>
      <c r="O252">
        <v>149.5</v>
      </c>
      <c r="P252">
        <v>131.1</v>
      </c>
      <c r="Q252">
        <v>158.5</v>
      </c>
      <c r="R252">
        <v>154.4</v>
      </c>
      <c r="S252">
        <v>170.8</v>
      </c>
      <c r="T252">
        <v>147</v>
      </c>
      <c r="U252">
        <v>133.19999999999999</v>
      </c>
      <c r="V252">
        <v>144.9</v>
      </c>
      <c r="W252">
        <v>153.9</v>
      </c>
      <c r="X252">
        <v>135.1</v>
      </c>
      <c r="Y252">
        <v>140.1</v>
      </c>
      <c r="Z252">
        <v>143.80000000000001</v>
      </c>
      <c r="AA252">
        <v>126.1</v>
      </c>
      <c r="AB252">
        <v>137.19999999999999</v>
      </c>
      <c r="AC252">
        <v>152.1</v>
      </c>
      <c r="AD252">
        <v>142.1</v>
      </c>
      <c r="AE252">
        <v>138.4</v>
      </c>
      <c r="AF252">
        <v>148.19999999999999</v>
      </c>
    </row>
    <row r="253" spans="1:32">
      <c r="A253" t="s">
        <v>35</v>
      </c>
      <c r="B253">
        <v>2020</v>
      </c>
      <c r="C253" t="s">
        <v>31</v>
      </c>
      <c r="D253">
        <v>1</v>
      </c>
      <c r="E253" s="1">
        <v>43831</v>
      </c>
      <c r="F253">
        <v>144.30000000000001</v>
      </c>
      <c r="G253">
        <v>167.4</v>
      </c>
      <c r="H253">
        <v>154.9</v>
      </c>
      <c r="I253">
        <v>150.1</v>
      </c>
      <c r="J253">
        <v>129.9</v>
      </c>
      <c r="K253">
        <v>143.19999999999999</v>
      </c>
      <c r="L253">
        <v>197</v>
      </c>
      <c r="M253">
        <v>140.4</v>
      </c>
      <c r="N253">
        <v>114.1</v>
      </c>
      <c r="O253">
        <v>150.9</v>
      </c>
      <c r="P253">
        <v>136.1</v>
      </c>
      <c r="Q253">
        <v>158.6</v>
      </c>
      <c r="R253">
        <v>153.5</v>
      </c>
      <c r="S253">
        <v>169.2</v>
      </c>
      <c r="T253">
        <v>150.5</v>
      </c>
      <c r="U253">
        <v>141.5</v>
      </c>
      <c r="V253">
        <v>149.19999999999999</v>
      </c>
      <c r="W253">
        <v>153.9</v>
      </c>
      <c r="X253">
        <v>144.6</v>
      </c>
      <c r="Y253">
        <v>146.19999999999999</v>
      </c>
      <c r="Z253">
        <v>151.19999999999999</v>
      </c>
      <c r="AA253">
        <v>130.9</v>
      </c>
      <c r="AB253">
        <v>142.80000000000001</v>
      </c>
      <c r="AC253">
        <v>156.1</v>
      </c>
      <c r="AD253">
        <v>142.30000000000001</v>
      </c>
      <c r="AE253">
        <v>143.4</v>
      </c>
      <c r="AF253">
        <v>150.19999999999999</v>
      </c>
    </row>
    <row r="254" spans="1:32">
      <c r="A254" t="s">
        <v>30</v>
      </c>
      <c r="B254">
        <v>2020</v>
      </c>
      <c r="C254" t="s">
        <v>36</v>
      </c>
      <c r="D254">
        <v>2</v>
      </c>
      <c r="E254" s="1">
        <v>43862</v>
      </c>
      <c r="F254">
        <v>144.19999999999999</v>
      </c>
      <c r="G254">
        <v>167.5</v>
      </c>
      <c r="H254">
        <v>150.9</v>
      </c>
      <c r="I254">
        <v>150.9</v>
      </c>
      <c r="J254">
        <v>133.69999999999999</v>
      </c>
      <c r="K254">
        <v>140.69999999999999</v>
      </c>
      <c r="L254">
        <v>165.1</v>
      </c>
      <c r="M254">
        <v>141.80000000000001</v>
      </c>
      <c r="N254">
        <v>113.1</v>
      </c>
      <c r="O254">
        <v>152.80000000000001</v>
      </c>
      <c r="P254">
        <v>140.1</v>
      </c>
      <c r="Q254">
        <v>159.19999999999999</v>
      </c>
      <c r="R254">
        <v>149.80000000000001</v>
      </c>
      <c r="S254">
        <v>169.4</v>
      </c>
      <c r="T254">
        <v>153</v>
      </c>
      <c r="U254">
        <v>147.5</v>
      </c>
      <c r="V254">
        <v>152.30000000000001</v>
      </c>
      <c r="X254">
        <v>152.30000000000001</v>
      </c>
      <c r="Y254">
        <v>151.80000000000001</v>
      </c>
      <c r="Z254">
        <v>156.19999999999999</v>
      </c>
      <c r="AA254">
        <v>136</v>
      </c>
      <c r="AB254">
        <v>150.4</v>
      </c>
      <c r="AC254">
        <v>161.9</v>
      </c>
      <c r="AD254">
        <v>143.4</v>
      </c>
      <c r="AE254">
        <v>148.4</v>
      </c>
      <c r="AF254">
        <v>150.4</v>
      </c>
    </row>
    <row r="255" spans="1:32">
      <c r="A255" t="s">
        <v>33</v>
      </c>
      <c r="B255">
        <v>2020</v>
      </c>
      <c r="C255" t="s">
        <v>36</v>
      </c>
      <c r="D255">
        <v>2</v>
      </c>
      <c r="E255" s="1">
        <v>43862</v>
      </c>
      <c r="F255">
        <v>146.19999999999999</v>
      </c>
      <c r="G255">
        <v>167.6</v>
      </c>
      <c r="H255">
        <v>153.1</v>
      </c>
      <c r="I255">
        <v>150.69999999999999</v>
      </c>
      <c r="J255">
        <v>127.4</v>
      </c>
      <c r="K255">
        <v>143.1</v>
      </c>
      <c r="L255">
        <v>181.7</v>
      </c>
      <c r="M255">
        <v>139.6</v>
      </c>
      <c r="N255">
        <v>114.6</v>
      </c>
      <c r="O255">
        <v>150.4</v>
      </c>
      <c r="P255">
        <v>131.5</v>
      </c>
      <c r="Q255">
        <v>159</v>
      </c>
      <c r="R255">
        <v>151.69999999999999</v>
      </c>
      <c r="S255">
        <v>172</v>
      </c>
      <c r="T255">
        <v>147.30000000000001</v>
      </c>
      <c r="U255">
        <v>133.5</v>
      </c>
      <c r="V255">
        <v>145.19999999999999</v>
      </c>
      <c r="W255">
        <v>154.80000000000001</v>
      </c>
      <c r="X255">
        <v>138.9</v>
      </c>
      <c r="Y255">
        <v>140.4</v>
      </c>
      <c r="Z255">
        <v>144.4</v>
      </c>
      <c r="AA255">
        <v>125.2</v>
      </c>
      <c r="AB255">
        <v>137.69999999999999</v>
      </c>
      <c r="AC255">
        <v>152.19999999999999</v>
      </c>
      <c r="AD255">
        <v>143.5</v>
      </c>
      <c r="AE255">
        <v>138.4</v>
      </c>
      <c r="AF255">
        <v>147.69999999999999</v>
      </c>
    </row>
    <row r="256" spans="1:32">
      <c r="A256" t="s">
        <v>35</v>
      </c>
      <c r="B256">
        <v>2020</v>
      </c>
      <c r="C256" t="s">
        <v>36</v>
      </c>
      <c r="D256">
        <v>2</v>
      </c>
      <c r="E256" s="1">
        <v>43862</v>
      </c>
      <c r="F256">
        <v>144.80000000000001</v>
      </c>
      <c r="G256">
        <v>167.5</v>
      </c>
      <c r="H256">
        <v>151.80000000000001</v>
      </c>
      <c r="I256">
        <v>150.80000000000001</v>
      </c>
      <c r="J256">
        <v>131.4</v>
      </c>
      <c r="K256">
        <v>141.80000000000001</v>
      </c>
      <c r="L256">
        <v>170.7</v>
      </c>
      <c r="M256">
        <v>141.1</v>
      </c>
      <c r="N256">
        <v>113.6</v>
      </c>
      <c r="O256">
        <v>152</v>
      </c>
      <c r="P256">
        <v>136.5</v>
      </c>
      <c r="Q256">
        <v>159.1</v>
      </c>
      <c r="R256">
        <v>150.5</v>
      </c>
      <c r="S256">
        <v>170.1</v>
      </c>
      <c r="T256">
        <v>150.80000000000001</v>
      </c>
      <c r="U256">
        <v>141.69999999999999</v>
      </c>
      <c r="V256">
        <v>149.5</v>
      </c>
      <c r="W256">
        <v>154.80000000000001</v>
      </c>
      <c r="X256">
        <v>147.19999999999999</v>
      </c>
      <c r="Y256">
        <v>146.4</v>
      </c>
      <c r="Z256">
        <v>151.69999999999999</v>
      </c>
      <c r="AA256">
        <v>130.30000000000001</v>
      </c>
      <c r="AB256">
        <v>143.19999999999999</v>
      </c>
      <c r="AC256">
        <v>156.19999999999999</v>
      </c>
      <c r="AD256">
        <v>143.4</v>
      </c>
      <c r="AE256">
        <v>143.6</v>
      </c>
      <c r="AF256">
        <v>149.1</v>
      </c>
    </row>
    <row r="257" spans="1:32">
      <c r="A257" t="s">
        <v>30</v>
      </c>
      <c r="B257">
        <v>2020</v>
      </c>
      <c r="C257" t="s">
        <v>38</v>
      </c>
      <c r="D257">
        <v>3</v>
      </c>
      <c r="E257" s="1">
        <v>43891</v>
      </c>
      <c r="F257">
        <v>144.4</v>
      </c>
      <c r="G257">
        <v>166.8</v>
      </c>
      <c r="H257">
        <v>147.6</v>
      </c>
      <c r="I257">
        <v>151.69999999999999</v>
      </c>
      <c r="J257">
        <v>133.30000000000001</v>
      </c>
      <c r="K257">
        <v>141.80000000000001</v>
      </c>
      <c r="L257">
        <v>152.30000000000001</v>
      </c>
      <c r="M257">
        <v>141.80000000000001</v>
      </c>
      <c r="N257">
        <v>112.6</v>
      </c>
      <c r="O257">
        <v>154</v>
      </c>
      <c r="P257">
        <v>140.1</v>
      </c>
      <c r="Q257">
        <v>160</v>
      </c>
      <c r="R257">
        <v>148.19999999999999</v>
      </c>
      <c r="S257">
        <v>170.5</v>
      </c>
      <c r="T257">
        <v>153.4</v>
      </c>
      <c r="U257">
        <v>147.6</v>
      </c>
      <c r="V257">
        <v>152.5</v>
      </c>
      <c r="X257">
        <v>153.4</v>
      </c>
      <c r="Y257">
        <v>151.5</v>
      </c>
      <c r="Z257">
        <v>156.69999999999999</v>
      </c>
      <c r="AA257">
        <v>135.80000000000001</v>
      </c>
      <c r="AB257">
        <v>151.19999999999999</v>
      </c>
      <c r="AC257">
        <v>161.19999999999999</v>
      </c>
      <c r="AD257">
        <v>145.1</v>
      </c>
      <c r="AE257">
        <v>148.6</v>
      </c>
      <c r="AF257">
        <v>149.80000000000001</v>
      </c>
    </row>
    <row r="258" spans="1:32">
      <c r="A258" t="s">
        <v>33</v>
      </c>
      <c r="B258">
        <v>2020</v>
      </c>
      <c r="C258" t="s">
        <v>38</v>
      </c>
      <c r="D258">
        <v>3</v>
      </c>
      <c r="E258" s="1">
        <v>43891</v>
      </c>
      <c r="F258">
        <v>146.5</v>
      </c>
      <c r="G258">
        <v>167.5</v>
      </c>
      <c r="H258">
        <v>148.9</v>
      </c>
      <c r="I258">
        <v>151.1</v>
      </c>
      <c r="J258">
        <v>127.5</v>
      </c>
      <c r="K258">
        <v>143.30000000000001</v>
      </c>
      <c r="L258">
        <v>167</v>
      </c>
      <c r="M258">
        <v>139.69999999999999</v>
      </c>
      <c r="N258">
        <v>114.4</v>
      </c>
      <c r="O258">
        <v>151.5</v>
      </c>
      <c r="P258">
        <v>131.9</v>
      </c>
      <c r="Q258">
        <v>159.1</v>
      </c>
      <c r="R258">
        <v>150.1</v>
      </c>
      <c r="S258">
        <v>173.3</v>
      </c>
      <c r="T258">
        <v>147.69999999999999</v>
      </c>
      <c r="U258">
        <v>133.80000000000001</v>
      </c>
      <c r="V258">
        <v>145.6</v>
      </c>
      <c r="W258">
        <v>154.5</v>
      </c>
      <c r="X258">
        <v>141.4</v>
      </c>
      <c r="Y258">
        <v>140.80000000000001</v>
      </c>
      <c r="Z258">
        <v>145</v>
      </c>
      <c r="AA258">
        <v>124.6</v>
      </c>
      <c r="AB258">
        <v>137.9</v>
      </c>
      <c r="AC258">
        <v>152.5</v>
      </c>
      <c r="AD258">
        <v>145.30000000000001</v>
      </c>
      <c r="AE258">
        <v>138.69999999999999</v>
      </c>
      <c r="AF258">
        <v>147.30000000000001</v>
      </c>
    </row>
    <row r="259" spans="1:32">
      <c r="A259" t="s">
        <v>35</v>
      </c>
      <c r="B259">
        <v>2020</v>
      </c>
      <c r="C259" t="s">
        <v>38</v>
      </c>
      <c r="D259">
        <v>3</v>
      </c>
      <c r="E259" s="1">
        <v>43891</v>
      </c>
      <c r="F259">
        <v>145.1</v>
      </c>
      <c r="G259">
        <v>167</v>
      </c>
      <c r="H259">
        <v>148.1</v>
      </c>
      <c r="I259">
        <v>151.5</v>
      </c>
      <c r="J259">
        <v>131.19999999999999</v>
      </c>
      <c r="K259">
        <v>142.5</v>
      </c>
      <c r="L259">
        <v>157.30000000000001</v>
      </c>
      <c r="M259">
        <v>141.1</v>
      </c>
      <c r="N259">
        <v>113.2</v>
      </c>
      <c r="O259">
        <v>153.19999999999999</v>
      </c>
      <c r="P259">
        <v>136.69999999999999</v>
      </c>
      <c r="Q259">
        <v>159.6</v>
      </c>
      <c r="R259">
        <v>148.9</v>
      </c>
      <c r="S259">
        <v>171.2</v>
      </c>
      <c r="T259">
        <v>151.19999999999999</v>
      </c>
      <c r="U259">
        <v>141.9</v>
      </c>
      <c r="V259">
        <v>149.80000000000001</v>
      </c>
      <c r="W259">
        <v>154.5</v>
      </c>
      <c r="X259">
        <v>148.9</v>
      </c>
      <c r="Y259">
        <v>146.4</v>
      </c>
      <c r="Z259">
        <v>152.30000000000001</v>
      </c>
      <c r="AA259">
        <v>129.9</v>
      </c>
      <c r="AB259">
        <v>143.69999999999999</v>
      </c>
      <c r="AC259">
        <v>156.1</v>
      </c>
      <c r="AD259">
        <v>145.19999999999999</v>
      </c>
      <c r="AE259">
        <v>143.80000000000001</v>
      </c>
      <c r="AF259">
        <v>148.6</v>
      </c>
    </row>
    <row r="260" spans="1:32">
      <c r="A260" t="s">
        <v>30</v>
      </c>
      <c r="B260">
        <v>2020</v>
      </c>
      <c r="C260" t="s">
        <v>39</v>
      </c>
      <c r="D260">
        <v>4</v>
      </c>
      <c r="E260" s="1">
        <v>43922</v>
      </c>
      <c r="F260">
        <v>147.19999999999999</v>
      </c>
      <c r="H260">
        <v>146.9</v>
      </c>
      <c r="I260">
        <v>155.6</v>
      </c>
      <c r="J260">
        <v>137.1</v>
      </c>
      <c r="K260">
        <v>147.30000000000001</v>
      </c>
      <c r="L260">
        <v>162.69999999999999</v>
      </c>
      <c r="M260">
        <v>150.19999999999999</v>
      </c>
      <c r="N260">
        <v>119.8</v>
      </c>
      <c r="O260">
        <v>158.69999999999999</v>
      </c>
      <c r="P260">
        <v>139.19999999999999</v>
      </c>
      <c r="R260">
        <v>150.1</v>
      </c>
      <c r="X260">
        <v>148.4</v>
      </c>
      <c r="Z260">
        <v>154.30000000000001</v>
      </c>
    </row>
    <row r="261" spans="1:32">
      <c r="A261" t="s">
        <v>33</v>
      </c>
      <c r="B261">
        <v>2020</v>
      </c>
      <c r="C261" t="s">
        <v>39</v>
      </c>
      <c r="D261">
        <v>4</v>
      </c>
      <c r="E261" s="1">
        <v>43922</v>
      </c>
      <c r="F261">
        <v>151.80000000000001</v>
      </c>
      <c r="H261">
        <v>151.9</v>
      </c>
      <c r="I261">
        <v>155.5</v>
      </c>
      <c r="J261">
        <v>131.6</v>
      </c>
      <c r="K261">
        <v>152.9</v>
      </c>
      <c r="L261">
        <v>180</v>
      </c>
      <c r="M261">
        <v>150.80000000000001</v>
      </c>
      <c r="N261">
        <v>121.2</v>
      </c>
      <c r="O261">
        <v>154</v>
      </c>
      <c r="P261">
        <v>133.5</v>
      </c>
      <c r="R261">
        <v>153.5</v>
      </c>
      <c r="W261">
        <v>155.6</v>
      </c>
      <c r="X261">
        <v>137.1</v>
      </c>
      <c r="Z261">
        <v>144.80000000000001</v>
      </c>
    </row>
    <row r="262" spans="1:32">
      <c r="A262" t="s">
        <v>35</v>
      </c>
      <c r="B262">
        <v>2020</v>
      </c>
      <c r="C262" t="s">
        <v>39</v>
      </c>
      <c r="D262">
        <v>4</v>
      </c>
      <c r="E262" s="1">
        <v>43922</v>
      </c>
      <c r="F262">
        <v>148.69999999999999</v>
      </c>
      <c r="H262">
        <v>148.80000000000001</v>
      </c>
      <c r="I262">
        <v>155.6</v>
      </c>
      <c r="J262">
        <v>135.1</v>
      </c>
      <c r="K262">
        <v>149.9</v>
      </c>
      <c r="L262">
        <v>168.6</v>
      </c>
      <c r="M262">
        <v>150.4</v>
      </c>
      <c r="N262">
        <v>120.3</v>
      </c>
      <c r="O262">
        <v>157.1</v>
      </c>
      <c r="P262">
        <v>136.80000000000001</v>
      </c>
      <c r="R262">
        <v>151.4</v>
      </c>
      <c r="W262">
        <v>155.6</v>
      </c>
      <c r="X262">
        <v>144.1</v>
      </c>
      <c r="Z262">
        <v>150.69999999999999</v>
      </c>
    </row>
    <row r="263" spans="1:32">
      <c r="A263" t="s">
        <v>30</v>
      </c>
      <c r="B263">
        <v>2020</v>
      </c>
      <c r="C263" t="s">
        <v>41</v>
      </c>
      <c r="D263">
        <v>5</v>
      </c>
      <c r="E263" s="1">
        <v>43952</v>
      </c>
    </row>
    <row r="264" spans="1:32">
      <c r="A264" t="s">
        <v>33</v>
      </c>
      <c r="B264">
        <v>2020</v>
      </c>
      <c r="C264" t="s">
        <v>41</v>
      </c>
      <c r="D264">
        <v>5</v>
      </c>
      <c r="E264" s="1">
        <v>43952</v>
      </c>
    </row>
    <row r="265" spans="1:32">
      <c r="A265" t="s">
        <v>35</v>
      </c>
      <c r="B265">
        <v>2020</v>
      </c>
      <c r="C265" t="s">
        <v>41</v>
      </c>
      <c r="D265">
        <v>5</v>
      </c>
      <c r="E265" s="1">
        <v>43952</v>
      </c>
    </row>
    <row r="266" spans="1:32">
      <c r="A266" t="s">
        <v>30</v>
      </c>
      <c r="B266">
        <v>2020</v>
      </c>
      <c r="C266" t="s">
        <v>42</v>
      </c>
      <c r="D266">
        <v>6</v>
      </c>
      <c r="E266" s="1">
        <v>43983</v>
      </c>
      <c r="F266">
        <v>148.19999999999999</v>
      </c>
      <c r="G266">
        <v>190.3</v>
      </c>
      <c r="H266">
        <v>149.4</v>
      </c>
      <c r="I266">
        <v>153.30000000000001</v>
      </c>
      <c r="J266">
        <v>138.19999999999999</v>
      </c>
      <c r="K266">
        <v>143.19999999999999</v>
      </c>
      <c r="L266">
        <v>148.9</v>
      </c>
      <c r="M266">
        <v>150.30000000000001</v>
      </c>
      <c r="N266">
        <v>113.2</v>
      </c>
      <c r="O266">
        <v>159.80000000000001</v>
      </c>
      <c r="P266">
        <v>142.1</v>
      </c>
      <c r="Q266">
        <v>161.80000000000001</v>
      </c>
      <c r="R266">
        <v>152.30000000000001</v>
      </c>
      <c r="S266">
        <v>182.4</v>
      </c>
      <c r="T266">
        <v>154.69999999999999</v>
      </c>
      <c r="U266">
        <v>150</v>
      </c>
      <c r="V266">
        <v>154.1</v>
      </c>
      <c r="X266">
        <v>144.9</v>
      </c>
      <c r="Y266">
        <v>151.69999999999999</v>
      </c>
      <c r="Z266">
        <v>158.19999999999999</v>
      </c>
      <c r="AA266">
        <v>141.4</v>
      </c>
      <c r="AB266">
        <v>153.19999999999999</v>
      </c>
      <c r="AC266">
        <v>161.80000000000001</v>
      </c>
      <c r="AD266">
        <v>151.19999999999999</v>
      </c>
      <c r="AE266">
        <v>151.69999999999999</v>
      </c>
      <c r="AF266">
        <v>152.69999999999999</v>
      </c>
    </row>
    <row r="267" spans="1:32">
      <c r="A267" t="s">
        <v>33</v>
      </c>
      <c r="B267">
        <v>2020</v>
      </c>
      <c r="C267" t="s">
        <v>42</v>
      </c>
      <c r="D267">
        <v>6</v>
      </c>
      <c r="E267" s="1">
        <v>43983</v>
      </c>
      <c r="F267">
        <v>152.69999999999999</v>
      </c>
      <c r="G267">
        <v>197</v>
      </c>
      <c r="H267">
        <v>154.6</v>
      </c>
      <c r="I267">
        <v>153.4</v>
      </c>
      <c r="J267">
        <v>132.9</v>
      </c>
      <c r="K267">
        <v>151.80000000000001</v>
      </c>
      <c r="L267">
        <v>171.2</v>
      </c>
      <c r="M267">
        <v>152</v>
      </c>
      <c r="N267">
        <v>116.3</v>
      </c>
      <c r="O267">
        <v>158.80000000000001</v>
      </c>
      <c r="P267">
        <v>135.6</v>
      </c>
      <c r="Q267">
        <v>161.69999999999999</v>
      </c>
      <c r="R267">
        <v>157</v>
      </c>
      <c r="S267">
        <v>186.7</v>
      </c>
      <c r="T267">
        <v>149.1</v>
      </c>
      <c r="U267">
        <v>136.6</v>
      </c>
      <c r="V267">
        <v>147.19999999999999</v>
      </c>
      <c r="W267">
        <v>154.69999999999999</v>
      </c>
      <c r="X267">
        <v>137.1</v>
      </c>
      <c r="Y267">
        <v>140.4</v>
      </c>
      <c r="Z267">
        <v>148.1</v>
      </c>
      <c r="AA267">
        <v>129.30000000000001</v>
      </c>
      <c r="AB267">
        <v>144.5</v>
      </c>
      <c r="AC267">
        <v>152.5</v>
      </c>
      <c r="AD267">
        <v>152.19999999999999</v>
      </c>
      <c r="AE267">
        <v>142</v>
      </c>
      <c r="AF267">
        <v>150.80000000000001</v>
      </c>
    </row>
    <row r="268" spans="1:32">
      <c r="A268" t="s">
        <v>35</v>
      </c>
      <c r="B268">
        <v>2020</v>
      </c>
      <c r="C268" t="s">
        <v>42</v>
      </c>
      <c r="D268">
        <v>6</v>
      </c>
      <c r="E268" s="1">
        <v>43983</v>
      </c>
      <c r="F268">
        <v>149.6</v>
      </c>
      <c r="G268">
        <v>192.7</v>
      </c>
      <c r="H268">
        <v>151.4</v>
      </c>
      <c r="I268">
        <v>153.30000000000001</v>
      </c>
      <c r="J268">
        <v>136.30000000000001</v>
      </c>
      <c r="K268">
        <v>147.19999999999999</v>
      </c>
      <c r="L268">
        <v>156.5</v>
      </c>
      <c r="M268">
        <v>150.9</v>
      </c>
      <c r="N268">
        <v>114.2</v>
      </c>
      <c r="O268">
        <v>159.5</v>
      </c>
      <c r="P268">
        <v>139.4</v>
      </c>
      <c r="Q268">
        <v>161.80000000000001</v>
      </c>
      <c r="R268">
        <v>154</v>
      </c>
      <c r="S268">
        <v>183.5</v>
      </c>
      <c r="T268">
        <v>152.5</v>
      </c>
      <c r="U268">
        <v>144.4</v>
      </c>
      <c r="V268">
        <v>151.4</v>
      </c>
      <c r="W268">
        <v>154.69999999999999</v>
      </c>
      <c r="X268">
        <v>141.9</v>
      </c>
      <c r="Y268">
        <v>146.4</v>
      </c>
      <c r="Z268">
        <v>154.4</v>
      </c>
      <c r="AA268">
        <v>135</v>
      </c>
      <c r="AB268">
        <v>148.30000000000001</v>
      </c>
      <c r="AC268">
        <v>156.4</v>
      </c>
      <c r="AD268">
        <v>151.6</v>
      </c>
      <c r="AE268">
        <v>147</v>
      </c>
      <c r="AF268">
        <v>151.80000000000001</v>
      </c>
    </row>
    <row r="269" spans="1:32">
      <c r="A269" t="s">
        <v>30</v>
      </c>
      <c r="B269">
        <v>2020</v>
      </c>
      <c r="C269" t="s">
        <v>44</v>
      </c>
      <c r="D269">
        <v>7</v>
      </c>
      <c r="E269" s="1">
        <v>44013</v>
      </c>
      <c r="F269">
        <v>148.19999999999999</v>
      </c>
      <c r="G269">
        <v>190.3</v>
      </c>
      <c r="H269">
        <v>149.4</v>
      </c>
      <c r="I269">
        <v>153.30000000000001</v>
      </c>
      <c r="J269">
        <v>138.19999999999999</v>
      </c>
      <c r="K269">
        <v>143.19999999999999</v>
      </c>
      <c r="L269">
        <v>148.9</v>
      </c>
      <c r="M269">
        <v>150.30000000000001</v>
      </c>
      <c r="N269">
        <v>113.2</v>
      </c>
      <c r="O269">
        <v>159.80000000000001</v>
      </c>
      <c r="P269">
        <v>142.1</v>
      </c>
      <c r="Q269">
        <v>161.80000000000001</v>
      </c>
      <c r="R269">
        <v>152.30000000000001</v>
      </c>
      <c r="S269">
        <v>182.4</v>
      </c>
      <c r="T269">
        <v>154.69999999999999</v>
      </c>
      <c r="U269">
        <v>150</v>
      </c>
      <c r="V269">
        <v>154.1</v>
      </c>
      <c r="X269">
        <v>144.9</v>
      </c>
      <c r="Y269">
        <v>151.69999999999999</v>
      </c>
      <c r="Z269">
        <v>158.19999999999999</v>
      </c>
      <c r="AA269">
        <v>141.4</v>
      </c>
      <c r="AB269">
        <v>153.19999999999999</v>
      </c>
      <c r="AC269">
        <v>161.80000000000001</v>
      </c>
      <c r="AD269">
        <v>151.19999999999999</v>
      </c>
      <c r="AE269">
        <v>151.69999999999999</v>
      </c>
      <c r="AF269">
        <v>152.69999999999999</v>
      </c>
    </row>
    <row r="270" spans="1:32">
      <c r="A270" t="s">
        <v>33</v>
      </c>
      <c r="B270">
        <v>2020</v>
      </c>
      <c r="C270" t="s">
        <v>44</v>
      </c>
      <c r="D270">
        <v>7</v>
      </c>
      <c r="E270" s="1">
        <v>44013</v>
      </c>
      <c r="F270">
        <v>152.69999999999999</v>
      </c>
      <c r="G270">
        <v>197</v>
      </c>
      <c r="H270">
        <v>154.6</v>
      </c>
      <c r="I270">
        <v>153.4</v>
      </c>
      <c r="J270">
        <v>132.9</v>
      </c>
      <c r="K270">
        <v>151.80000000000001</v>
      </c>
      <c r="L270">
        <v>171.2</v>
      </c>
      <c r="M270">
        <v>152</v>
      </c>
      <c r="N270">
        <v>116.3</v>
      </c>
      <c r="O270">
        <v>158.80000000000001</v>
      </c>
      <c r="P270">
        <v>135.6</v>
      </c>
      <c r="Q270">
        <v>161.69999999999999</v>
      </c>
      <c r="R270">
        <v>157</v>
      </c>
      <c r="S270">
        <v>186.7</v>
      </c>
      <c r="T270">
        <v>149.1</v>
      </c>
      <c r="U270">
        <v>136.6</v>
      </c>
      <c r="V270">
        <v>147.19999999999999</v>
      </c>
      <c r="W270">
        <v>154.69999999999999</v>
      </c>
      <c r="X270">
        <v>137.1</v>
      </c>
      <c r="Y270">
        <v>140.4</v>
      </c>
      <c r="Z270">
        <v>148.1</v>
      </c>
      <c r="AA270">
        <v>129.30000000000001</v>
      </c>
      <c r="AB270">
        <v>144.5</v>
      </c>
      <c r="AC270">
        <v>152.5</v>
      </c>
      <c r="AD270">
        <v>152.19999999999999</v>
      </c>
      <c r="AE270">
        <v>142</v>
      </c>
      <c r="AF270">
        <v>150.80000000000001</v>
      </c>
    </row>
    <row r="271" spans="1:32">
      <c r="A271" t="s">
        <v>35</v>
      </c>
      <c r="B271">
        <v>2020</v>
      </c>
      <c r="C271" t="s">
        <v>44</v>
      </c>
      <c r="D271">
        <v>7</v>
      </c>
      <c r="E271" s="1">
        <v>44013</v>
      </c>
      <c r="F271">
        <v>149.6</v>
      </c>
      <c r="G271">
        <v>192.7</v>
      </c>
      <c r="H271">
        <v>151.4</v>
      </c>
      <c r="I271">
        <v>153.30000000000001</v>
      </c>
      <c r="J271">
        <v>136.30000000000001</v>
      </c>
      <c r="K271">
        <v>147.19999999999999</v>
      </c>
      <c r="L271">
        <v>156.5</v>
      </c>
      <c r="M271">
        <v>150.9</v>
      </c>
      <c r="N271">
        <v>114.2</v>
      </c>
      <c r="O271">
        <v>159.5</v>
      </c>
      <c r="P271">
        <v>139.4</v>
      </c>
      <c r="Q271">
        <v>161.80000000000001</v>
      </c>
      <c r="R271">
        <v>154</v>
      </c>
      <c r="S271">
        <v>183.5</v>
      </c>
      <c r="T271">
        <v>152.5</v>
      </c>
      <c r="U271">
        <v>144.4</v>
      </c>
      <c r="V271">
        <v>151.4</v>
      </c>
      <c r="W271">
        <v>154.69999999999999</v>
      </c>
      <c r="X271">
        <v>141.9</v>
      </c>
      <c r="Y271">
        <v>146.4</v>
      </c>
      <c r="Z271">
        <v>154.4</v>
      </c>
      <c r="AA271">
        <v>135</v>
      </c>
      <c r="AB271">
        <v>148.30000000000001</v>
      </c>
      <c r="AC271">
        <v>156.4</v>
      </c>
      <c r="AD271">
        <v>151.6</v>
      </c>
      <c r="AE271">
        <v>147</v>
      </c>
      <c r="AF271">
        <v>151.80000000000001</v>
      </c>
    </row>
    <row r="272" spans="1:32">
      <c r="A272" t="s">
        <v>30</v>
      </c>
      <c r="B272">
        <v>2020</v>
      </c>
      <c r="C272" t="s">
        <v>46</v>
      </c>
      <c r="D272">
        <v>8</v>
      </c>
      <c r="E272" s="1">
        <v>44044</v>
      </c>
      <c r="F272">
        <v>147.6</v>
      </c>
      <c r="G272">
        <v>187.2</v>
      </c>
      <c r="H272">
        <v>148.4</v>
      </c>
      <c r="I272">
        <v>153.30000000000001</v>
      </c>
      <c r="J272">
        <v>139.80000000000001</v>
      </c>
      <c r="K272">
        <v>146.9</v>
      </c>
      <c r="L272">
        <v>171</v>
      </c>
      <c r="M272">
        <v>149.9</v>
      </c>
      <c r="N272">
        <v>114.2</v>
      </c>
      <c r="O272">
        <v>160</v>
      </c>
      <c r="P272">
        <v>143.5</v>
      </c>
      <c r="Q272">
        <v>161.5</v>
      </c>
      <c r="R272">
        <v>155.30000000000001</v>
      </c>
      <c r="S272">
        <v>180.9</v>
      </c>
      <c r="T272">
        <v>155.1</v>
      </c>
      <c r="U272">
        <v>149.30000000000001</v>
      </c>
      <c r="V272">
        <v>154.30000000000001</v>
      </c>
      <c r="X272">
        <v>145.80000000000001</v>
      </c>
      <c r="Y272">
        <v>151.9</v>
      </c>
      <c r="Z272">
        <v>158.80000000000001</v>
      </c>
      <c r="AA272">
        <v>143.6</v>
      </c>
      <c r="AB272">
        <v>152.19999999999999</v>
      </c>
      <c r="AC272">
        <v>162.69999999999999</v>
      </c>
      <c r="AD272">
        <v>153.6</v>
      </c>
      <c r="AE272">
        <v>153</v>
      </c>
      <c r="AF272">
        <v>154.69999999999999</v>
      </c>
    </row>
    <row r="273" spans="1:32">
      <c r="A273" t="s">
        <v>33</v>
      </c>
      <c r="B273">
        <v>2020</v>
      </c>
      <c r="C273" t="s">
        <v>46</v>
      </c>
      <c r="D273">
        <v>8</v>
      </c>
      <c r="E273" s="1">
        <v>44044</v>
      </c>
      <c r="F273">
        <v>151.6</v>
      </c>
      <c r="G273">
        <v>197.8</v>
      </c>
      <c r="H273">
        <v>154.5</v>
      </c>
      <c r="I273">
        <v>153.4</v>
      </c>
      <c r="J273">
        <v>133.4</v>
      </c>
      <c r="K273">
        <v>154.5</v>
      </c>
      <c r="L273">
        <v>191.9</v>
      </c>
      <c r="M273">
        <v>151.30000000000001</v>
      </c>
      <c r="N273">
        <v>116.8</v>
      </c>
      <c r="O273">
        <v>160</v>
      </c>
      <c r="P273">
        <v>136.5</v>
      </c>
      <c r="Q273">
        <v>163.30000000000001</v>
      </c>
      <c r="R273">
        <v>159.9</v>
      </c>
      <c r="S273">
        <v>187.2</v>
      </c>
      <c r="T273">
        <v>150</v>
      </c>
      <c r="U273">
        <v>135.19999999999999</v>
      </c>
      <c r="V273">
        <v>147.80000000000001</v>
      </c>
      <c r="W273">
        <v>155.5</v>
      </c>
      <c r="X273">
        <v>138.30000000000001</v>
      </c>
      <c r="Y273">
        <v>144.5</v>
      </c>
      <c r="Z273">
        <v>148.69999999999999</v>
      </c>
      <c r="AA273">
        <v>133.9</v>
      </c>
      <c r="AB273">
        <v>141.19999999999999</v>
      </c>
      <c r="AC273">
        <v>155.5</v>
      </c>
      <c r="AD273">
        <v>155.19999999999999</v>
      </c>
      <c r="AE273">
        <v>144.80000000000001</v>
      </c>
      <c r="AF273">
        <v>152.9</v>
      </c>
    </row>
    <row r="274" spans="1:32">
      <c r="A274" t="s">
        <v>35</v>
      </c>
      <c r="B274">
        <v>2020</v>
      </c>
      <c r="C274" t="s">
        <v>46</v>
      </c>
      <c r="D274">
        <v>8</v>
      </c>
      <c r="E274" s="1">
        <v>44044</v>
      </c>
      <c r="F274">
        <v>148.9</v>
      </c>
      <c r="G274">
        <v>190.9</v>
      </c>
      <c r="H274">
        <v>150.80000000000001</v>
      </c>
      <c r="I274">
        <v>153.30000000000001</v>
      </c>
      <c r="J274">
        <v>137.4</v>
      </c>
      <c r="K274">
        <v>150.4</v>
      </c>
      <c r="L274">
        <v>178.1</v>
      </c>
      <c r="M274">
        <v>150.4</v>
      </c>
      <c r="N274">
        <v>115.1</v>
      </c>
      <c r="O274">
        <v>160</v>
      </c>
      <c r="P274">
        <v>140.6</v>
      </c>
      <c r="Q274">
        <v>162.30000000000001</v>
      </c>
      <c r="R274">
        <v>157</v>
      </c>
      <c r="S274">
        <v>182.6</v>
      </c>
      <c r="T274">
        <v>153.1</v>
      </c>
      <c r="U274">
        <v>143.4</v>
      </c>
      <c r="V274">
        <v>151.69999999999999</v>
      </c>
      <c r="W274">
        <v>155.5</v>
      </c>
      <c r="X274">
        <v>143</v>
      </c>
      <c r="Y274">
        <v>148.4</v>
      </c>
      <c r="Z274">
        <v>155</v>
      </c>
      <c r="AA274">
        <v>138.5</v>
      </c>
      <c r="AB274">
        <v>146</v>
      </c>
      <c r="AC274">
        <v>158.5</v>
      </c>
      <c r="AD274">
        <v>154.30000000000001</v>
      </c>
      <c r="AE274">
        <v>149</v>
      </c>
      <c r="AF274">
        <v>153.9</v>
      </c>
    </row>
    <row r="275" spans="1:32">
      <c r="A275" t="s">
        <v>30</v>
      </c>
      <c r="B275">
        <v>2020</v>
      </c>
      <c r="C275" t="s">
        <v>48</v>
      </c>
      <c r="D275">
        <v>9</v>
      </c>
      <c r="E275" s="1">
        <v>44075</v>
      </c>
      <c r="F275">
        <v>146.9</v>
      </c>
      <c r="G275">
        <v>183.9</v>
      </c>
      <c r="H275">
        <v>149.5</v>
      </c>
      <c r="I275">
        <v>153.4</v>
      </c>
      <c r="J275">
        <v>140.4</v>
      </c>
      <c r="K275">
        <v>147</v>
      </c>
      <c r="L275">
        <v>178.8</v>
      </c>
      <c r="M275">
        <v>149.30000000000001</v>
      </c>
      <c r="N275">
        <v>115.1</v>
      </c>
      <c r="O275">
        <v>160</v>
      </c>
      <c r="P275">
        <v>145.4</v>
      </c>
      <c r="Q275">
        <v>161.6</v>
      </c>
      <c r="R275">
        <v>156.1</v>
      </c>
      <c r="S275">
        <v>182.9</v>
      </c>
      <c r="T275">
        <v>155.4</v>
      </c>
      <c r="U275">
        <v>149.9</v>
      </c>
      <c r="V275">
        <v>154.6</v>
      </c>
      <c r="X275">
        <v>146.4</v>
      </c>
      <c r="Y275">
        <v>151.6</v>
      </c>
      <c r="Z275">
        <v>159.1</v>
      </c>
      <c r="AA275">
        <v>144.6</v>
      </c>
      <c r="AB275">
        <v>152.80000000000001</v>
      </c>
      <c r="AC275">
        <v>161.1</v>
      </c>
      <c r="AD275">
        <v>157.4</v>
      </c>
      <c r="AE275">
        <v>153.69999999999999</v>
      </c>
      <c r="AF275">
        <v>155.4</v>
      </c>
    </row>
    <row r="276" spans="1:32">
      <c r="A276" t="s">
        <v>33</v>
      </c>
      <c r="B276">
        <v>2020</v>
      </c>
      <c r="C276" t="s">
        <v>48</v>
      </c>
      <c r="D276">
        <v>9</v>
      </c>
      <c r="E276" s="1">
        <v>44075</v>
      </c>
      <c r="F276">
        <v>151.5</v>
      </c>
      <c r="G276">
        <v>193.1</v>
      </c>
      <c r="H276">
        <v>157.30000000000001</v>
      </c>
      <c r="I276">
        <v>153.9</v>
      </c>
      <c r="J276">
        <v>134.4</v>
      </c>
      <c r="K276">
        <v>155.4</v>
      </c>
      <c r="L276">
        <v>202</v>
      </c>
      <c r="M276">
        <v>150.80000000000001</v>
      </c>
      <c r="N276">
        <v>118.9</v>
      </c>
      <c r="O276">
        <v>160.9</v>
      </c>
      <c r="P276">
        <v>137.69999999999999</v>
      </c>
      <c r="Q276">
        <v>164.4</v>
      </c>
      <c r="R276">
        <v>161.30000000000001</v>
      </c>
      <c r="S276">
        <v>188.7</v>
      </c>
      <c r="T276">
        <v>150.19999999999999</v>
      </c>
      <c r="U276">
        <v>136.30000000000001</v>
      </c>
      <c r="V276">
        <v>148.1</v>
      </c>
      <c r="W276">
        <v>156.30000000000001</v>
      </c>
      <c r="X276">
        <v>137.19999999999999</v>
      </c>
      <c r="Y276">
        <v>145.4</v>
      </c>
      <c r="Z276">
        <v>150</v>
      </c>
      <c r="AA276">
        <v>135.1</v>
      </c>
      <c r="AB276">
        <v>141.80000000000001</v>
      </c>
      <c r="AC276">
        <v>154.9</v>
      </c>
      <c r="AD276">
        <v>159.80000000000001</v>
      </c>
      <c r="AE276">
        <v>146</v>
      </c>
      <c r="AF276">
        <v>154</v>
      </c>
    </row>
    <row r="277" spans="1:32">
      <c r="A277" t="s">
        <v>35</v>
      </c>
      <c r="B277">
        <v>2020</v>
      </c>
      <c r="C277" t="s">
        <v>48</v>
      </c>
      <c r="D277">
        <v>9</v>
      </c>
      <c r="E277" s="1">
        <v>44075</v>
      </c>
      <c r="F277">
        <v>148.4</v>
      </c>
      <c r="G277">
        <v>187.1</v>
      </c>
      <c r="H277">
        <v>152.5</v>
      </c>
      <c r="I277">
        <v>153.6</v>
      </c>
      <c r="J277">
        <v>138.19999999999999</v>
      </c>
      <c r="K277">
        <v>150.9</v>
      </c>
      <c r="L277">
        <v>186.7</v>
      </c>
      <c r="M277">
        <v>149.80000000000001</v>
      </c>
      <c r="N277">
        <v>116.4</v>
      </c>
      <c r="O277">
        <v>160.30000000000001</v>
      </c>
      <c r="P277">
        <v>142.19999999999999</v>
      </c>
      <c r="Q277">
        <v>162.9</v>
      </c>
      <c r="R277">
        <v>158</v>
      </c>
      <c r="S277">
        <v>184.4</v>
      </c>
      <c r="T277">
        <v>153.4</v>
      </c>
      <c r="U277">
        <v>144.30000000000001</v>
      </c>
      <c r="V277">
        <v>152</v>
      </c>
      <c r="W277">
        <v>156.30000000000001</v>
      </c>
      <c r="X277">
        <v>142.9</v>
      </c>
      <c r="Y277">
        <v>148.69999999999999</v>
      </c>
      <c r="Z277">
        <v>155.6</v>
      </c>
      <c r="AA277">
        <v>139.6</v>
      </c>
      <c r="AB277">
        <v>146.6</v>
      </c>
      <c r="AC277">
        <v>157.5</v>
      </c>
      <c r="AD277">
        <v>158.4</v>
      </c>
      <c r="AE277">
        <v>150</v>
      </c>
      <c r="AF277">
        <v>154.69999999999999</v>
      </c>
    </row>
    <row r="278" spans="1:32">
      <c r="A278" t="s">
        <v>30</v>
      </c>
      <c r="B278">
        <v>2020</v>
      </c>
      <c r="C278" t="s">
        <v>50</v>
      </c>
      <c r="D278">
        <v>10</v>
      </c>
      <c r="E278" s="1">
        <v>44105</v>
      </c>
      <c r="F278">
        <v>146</v>
      </c>
      <c r="G278">
        <v>186.3</v>
      </c>
      <c r="H278">
        <v>159.19999999999999</v>
      </c>
      <c r="I278">
        <v>153.6</v>
      </c>
      <c r="J278">
        <v>142.6</v>
      </c>
      <c r="K278">
        <v>147.19999999999999</v>
      </c>
      <c r="L278">
        <v>200.6</v>
      </c>
      <c r="M278">
        <v>150.30000000000001</v>
      </c>
      <c r="N278">
        <v>115.3</v>
      </c>
      <c r="O278">
        <v>160.9</v>
      </c>
      <c r="P278">
        <v>147.4</v>
      </c>
      <c r="Q278">
        <v>161.9</v>
      </c>
      <c r="R278">
        <v>159.6</v>
      </c>
      <c r="S278">
        <v>182.7</v>
      </c>
      <c r="T278">
        <v>155.69999999999999</v>
      </c>
      <c r="U278">
        <v>150.6</v>
      </c>
      <c r="V278">
        <v>155</v>
      </c>
      <c r="X278">
        <v>146.80000000000001</v>
      </c>
      <c r="Y278">
        <v>152</v>
      </c>
      <c r="Z278">
        <v>159.5</v>
      </c>
      <c r="AA278">
        <v>146.4</v>
      </c>
      <c r="AB278">
        <v>152.4</v>
      </c>
      <c r="AC278">
        <v>162.5</v>
      </c>
      <c r="AD278">
        <v>156.19999999999999</v>
      </c>
      <c r="AE278">
        <v>154.30000000000001</v>
      </c>
      <c r="AF278">
        <v>157.5</v>
      </c>
    </row>
    <row r="279" spans="1:32">
      <c r="A279" t="s">
        <v>33</v>
      </c>
      <c r="B279">
        <v>2020</v>
      </c>
      <c r="C279" t="s">
        <v>50</v>
      </c>
      <c r="D279">
        <v>10</v>
      </c>
      <c r="E279" s="1">
        <v>44105</v>
      </c>
      <c r="F279">
        <v>150.6</v>
      </c>
      <c r="G279">
        <v>193.7</v>
      </c>
      <c r="H279">
        <v>164.8</v>
      </c>
      <c r="I279">
        <v>153.69999999999999</v>
      </c>
      <c r="J279">
        <v>135.69999999999999</v>
      </c>
      <c r="K279">
        <v>155.69999999999999</v>
      </c>
      <c r="L279">
        <v>226</v>
      </c>
      <c r="M279">
        <v>152.19999999999999</v>
      </c>
      <c r="N279">
        <v>118.1</v>
      </c>
      <c r="O279">
        <v>161.30000000000001</v>
      </c>
      <c r="P279">
        <v>139.19999999999999</v>
      </c>
      <c r="Q279">
        <v>164.8</v>
      </c>
      <c r="R279">
        <v>164.4</v>
      </c>
      <c r="S279">
        <v>188.7</v>
      </c>
      <c r="T279">
        <v>150.5</v>
      </c>
      <c r="U279">
        <v>136.1</v>
      </c>
      <c r="V279">
        <v>148.30000000000001</v>
      </c>
      <c r="W279">
        <v>156.5</v>
      </c>
      <c r="X279">
        <v>137.1</v>
      </c>
      <c r="Y279">
        <v>145.1</v>
      </c>
      <c r="Z279">
        <v>151</v>
      </c>
      <c r="AA279">
        <v>135.4</v>
      </c>
      <c r="AB279">
        <v>142</v>
      </c>
      <c r="AC279">
        <v>155.69999999999999</v>
      </c>
      <c r="AD279">
        <v>158.1</v>
      </c>
      <c r="AE279">
        <v>146.19999999999999</v>
      </c>
      <c r="AF279">
        <v>155.19999999999999</v>
      </c>
    </row>
    <row r="280" spans="1:32">
      <c r="A280" t="s">
        <v>35</v>
      </c>
      <c r="B280">
        <v>2020</v>
      </c>
      <c r="C280" t="s">
        <v>50</v>
      </c>
      <c r="D280">
        <v>10</v>
      </c>
      <c r="E280" s="1">
        <v>44105</v>
      </c>
      <c r="F280">
        <v>147.5</v>
      </c>
      <c r="G280">
        <v>188.9</v>
      </c>
      <c r="H280">
        <v>161.4</v>
      </c>
      <c r="I280">
        <v>153.6</v>
      </c>
      <c r="J280">
        <v>140.1</v>
      </c>
      <c r="K280">
        <v>151.19999999999999</v>
      </c>
      <c r="L280">
        <v>209.2</v>
      </c>
      <c r="M280">
        <v>150.9</v>
      </c>
      <c r="N280">
        <v>116.2</v>
      </c>
      <c r="O280">
        <v>161</v>
      </c>
      <c r="P280">
        <v>144</v>
      </c>
      <c r="Q280">
        <v>163.19999999999999</v>
      </c>
      <c r="R280">
        <v>161.4</v>
      </c>
      <c r="S280">
        <v>184.3</v>
      </c>
      <c r="T280">
        <v>153.69999999999999</v>
      </c>
      <c r="U280">
        <v>144.6</v>
      </c>
      <c r="V280">
        <v>152.30000000000001</v>
      </c>
      <c r="W280">
        <v>156.5</v>
      </c>
      <c r="X280">
        <v>143.1</v>
      </c>
      <c r="Y280">
        <v>148.69999999999999</v>
      </c>
      <c r="Z280">
        <v>156.30000000000001</v>
      </c>
      <c r="AA280">
        <v>140.6</v>
      </c>
      <c r="AB280">
        <v>146.5</v>
      </c>
      <c r="AC280">
        <v>158.5</v>
      </c>
      <c r="AD280">
        <v>157</v>
      </c>
      <c r="AE280">
        <v>150.4</v>
      </c>
      <c r="AF280">
        <v>156.4</v>
      </c>
    </row>
    <row r="281" spans="1:32">
      <c r="A281" t="s">
        <v>30</v>
      </c>
      <c r="B281">
        <v>2020</v>
      </c>
      <c r="C281" t="s">
        <v>53</v>
      </c>
      <c r="D281">
        <v>11</v>
      </c>
      <c r="E281" s="1">
        <v>44136</v>
      </c>
      <c r="F281">
        <v>145.4</v>
      </c>
      <c r="G281">
        <v>188.6</v>
      </c>
      <c r="H281">
        <v>171.6</v>
      </c>
      <c r="I281">
        <v>153.80000000000001</v>
      </c>
      <c r="J281">
        <v>145.4</v>
      </c>
      <c r="K281">
        <v>146.5</v>
      </c>
      <c r="L281">
        <v>222.2</v>
      </c>
      <c r="M281">
        <v>155.9</v>
      </c>
      <c r="N281">
        <v>114.9</v>
      </c>
      <c r="O281">
        <v>162</v>
      </c>
      <c r="P281">
        <v>150</v>
      </c>
      <c r="Q281">
        <v>162.69999999999999</v>
      </c>
      <c r="R281">
        <v>163.4</v>
      </c>
      <c r="S281">
        <v>183.4</v>
      </c>
      <c r="T281">
        <v>156.30000000000001</v>
      </c>
      <c r="U281">
        <v>151</v>
      </c>
      <c r="V281">
        <v>155.5</v>
      </c>
      <c r="X281">
        <v>147.5</v>
      </c>
      <c r="Y281">
        <v>152.80000000000001</v>
      </c>
      <c r="Z281">
        <v>160.4</v>
      </c>
      <c r="AA281">
        <v>146.1</v>
      </c>
      <c r="AB281">
        <v>153.6</v>
      </c>
      <c r="AC281">
        <v>161.6</v>
      </c>
      <c r="AD281">
        <v>156.19999999999999</v>
      </c>
      <c r="AE281">
        <v>154.5</v>
      </c>
      <c r="AF281">
        <v>159.80000000000001</v>
      </c>
    </row>
    <row r="282" spans="1:32">
      <c r="A282" t="s">
        <v>33</v>
      </c>
      <c r="B282">
        <v>2020</v>
      </c>
      <c r="C282" t="s">
        <v>53</v>
      </c>
      <c r="D282">
        <v>11</v>
      </c>
      <c r="E282" s="1">
        <v>44136</v>
      </c>
      <c r="F282">
        <v>149.69999999999999</v>
      </c>
      <c r="G282">
        <v>195.5</v>
      </c>
      <c r="H282">
        <v>176.9</v>
      </c>
      <c r="I282">
        <v>153.9</v>
      </c>
      <c r="J282">
        <v>138</v>
      </c>
      <c r="K282">
        <v>150.5</v>
      </c>
      <c r="L282">
        <v>245.3</v>
      </c>
      <c r="M282">
        <v>158.69999999999999</v>
      </c>
      <c r="N282">
        <v>117.2</v>
      </c>
      <c r="O282">
        <v>161.4</v>
      </c>
      <c r="P282">
        <v>141.5</v>
      </c>
      <c r="Q282">
        <v>165.1</v>
      </c>
      <c r="R282">
        <v>167</v>
      </c>
      <c r="S282">
        <v>188.8</v>
      </c>
      <c r="T282">
        <v>151.1</v>
      </c>
      <c r="U282">
        <v>136.4</v>
      </c>
      <c r="V282">
        <v>148.80000000000001</v>
      </c>
      <c r="W282">
        <v>158</v>
      </c>
      <c r="X282">
        <v>137.30000000000001</v>
      </c>
      <c r="Y282">
        <v>145.1</v>
      </c>
      <c r="Z282">
        <v>152</v>
      </c>
      <c r="AA282">
        <v>135.19999999999999</v>
      </c>
      <c r="AB282">
        <v>144.4</v>
      </c>
      <c r="AC282">
        <v>156.4</v>
      </c>
      <c r="AD282">
        <v>157.9</v>
      </c>
      <c r="AE282">
        <v>146.6</v>
      </c>
      <c r="AF282">
        <v>156.69999999999999</v>
      </c>
    </row>
    <row r="283" spans="1:32">
      <c r="A283" t="s">
        <v>35</v>
      </c>
      <c r="B283">
        <v>2020</v>
      </c>
      <c r="C283" t="s">
        <v>53</v>
      </c>
      <c r="D283">
        <v>11</v>
      </c>
      <c r="E283" s="1">
        <v>44136</v>
      </c>
      <c r="F283">
        <v>146.80000000000001</v>
      </c>
      <c r="G283">
        <v>191</v>
      </c>
      <c r="H283">
        <v>173.6</v>
      </c>
      <c r="I283">
        <v>153.80000000000001</v>
      </c>
      <c r="J283">
        <v>142.69999999999999</v>
      </c>
      <c r="K283">
        <v>148.4</v>
      </c>
      <c r="L283">
        <v>230</v>
      </c>
      <c r="M283">
        <v>156.80000000000001</v>
      </c>
      <c r="N283">
        <v>115.7</v>
      </c>
      <c r="O283">
        <v>161.80000000000001</v>
      </c>
      <c r="P283">
        <v>146.5</v>
      </c>
      <c r="Q283">
        <v>163.80000000000001</v>
      </c>
      <c r="R283">
        <v>164.7</v>
      </c>
      <c r="S283">
        <v>184.8</v>
      </c>
      <c r="T283">
        <v>154.30000000000001</v>
      </c>
      <c r="U283">
        <v>144.9</v>
      </c>
      <c r="V283">
        <v>152.80000000000001</v>
      </c>
      <c r="W283">
        <v>158</v>
      </c>
      <c r="X283">
        <v>143.6</v>
      </c>
      <c r="Y283">
        <v>149.19999999999999</v>
      </c>
      <c r="Z283">
        <v>157.19999999999999</v>
      </c>
      <c r="AA283">
        <v>140.4</v>
      </c>
      <c r="AB283">
        <v>148.4</v>
      </c>
      <c r="AC283">
        <v>158.6</v>
      </c>
      <c r="AD283">
        <v>156.9</v>
      </c>
      <c r="AE283">
        <v>150.69999999999999</v>
      </c>
      <c r="AF283">
        <v>158.4</v>
      </c>
    </row>
    <row r="284" spans="1:32">
      <c r="A284" t="s">
        <v>30</v>
      </c>
      <c r="B284">
        <v>2020</v>
      </c>
      <c r="C284" t="s">
        <v>55</v>
      </c>
      <c r="D284">
        <v>12</v>
      </c>
      <c r="E284" s="1">
        <v>44166</v>
      </c>
      <c r="F284">
        <v>144.6</v>
      </c>
      <c r="G284">
        <v>188.5</v>
      </c>
      <c r="H284">
        <v>173.4</v>
      </c>
      <c r="I284">
        <v>154</v>
      </c>
      <c r="J284">
        <v>150</v>
      </c>
      <c r="K284">
        <v>145.9</v>
      </c>
      <c r="L284">
        <v>225.2</v>
      </c>
      <c r="M284">
        <v>159.5</v>
      </c>
      <c r="N284">
        <v>114.4</v>
      </c>
      <c r="O284">
        <v>163.5</v>
      </c>
      <c r="P284">
        <v>153.4</v>
      </c>
      <c r="Q284">
        <v>163.6</v>
      </c>
      <c r="R284">
        <v>164.5</v>
      </c>
      <c r="S284">
        <v>183.6</v>
      </c>
      <c r="T284">
        <v>157</v>
      </c>
      <c r="U284">
        <v>151.6</v>
      </c>
      <c r="V284">
        <v>156.30000000000001</v>
      </c>
      <c r="X284">
        <v>148.69999999999999</v>
      </c>
      <c r="Y284">
        <v>153.4</v>
      </c>
      <c r="Z284">
        <v>161.6</v>
      </c>
      <c r="AA284">
        <v>146.4</v>
      </c>
      <c r="AB284">
        <v>153.9</v>
      </c>
      <c r="AC284">
        <v>162.9</v>
      </c>
      <c r="AD284">
        <v>156.6</v>
      </c>
      <c r="AE284">
        <v>155.19999999999999</v>
      </c>
      <c r="AF284">
        <v>160.69999999999999</v>
      </c>
    </row>
    <row r="285" spans="1:32">
      <c r="A285" t="s">
        <v>33</v>
      </c>
      <c r="B285">
        <v>2020</v>
      </c>
      <c r="C285" t="s">
        <v>55</v>
      </c>
      <c r="D285">
        <v>12</v>
      </c>
      <c r="E285" s="1">
        <v>44166</v>
      </c>
      <c r="F285">
        <v>149</v>
      </c>
      <c r="G285">
        <v>195.7</v>
      </c>
      <c r="H285">
        <v>178.3</v>
      </c>
      <c r="I285">
        <v>154.19999999999999</v>
      </c>
      <c r="J285">
        <v>140.69999999999999</v>
      </c>
      <c r="K285">
        <v>149.69999999999999</v>
      </c>
      <c r="L285">
        <v>240.9</v>
      </c>
      <c r="M285">
        <v>161.5</v>
      </c>
      <c r="N285">
        <v>117.1</v>
      </c>
      <c r="O285">
        <v>161.9</v>
      </c>
      <c r="P285">
        <v>143.30000000000001</v>
      </c>
      <c r="Q285">
        <v>166.1</v>
      </c>
      <c r="R285">
        <v>167</v>
      </c>
      <c r="S285">
        <v>190.2</v>
      </c>
      <c r="T285">
        <v>151.9</v>
      </c>
      <c r="U285">
        <v>136.69999999999999</v>
      </c>
      <c r="V285">
        <v>149.6</v>
      </c>
      <c r="W285">
        <v>158.4</v>
      </c>
      <c r="X285">
        <v>137.9</v>
      </c>
      <c r="Y285">
        <v>145.5</v>
      </c>
      <c r="Z285">
        <v>152.9</v>
      </c>
      <c r="AA285">
        <v>135.5</v>
      </c>
      <c r="AB285">
        <v>144.30000000000001</v>
      </c>
      <c r="AC285">
        <v>156.9</v>
      </c>
      <c r="AD285">
        <v>157.9</v>
      </c>
      <c r="AE285">
        <v>146.9</v>
      </c>
      <c r="AF285">
        <v>156.9</v>
      </c>
    </row>
    <row r="286" spans="1:32">
      <c r="A286" t="s">
        <v>35</v>
      </c>
      <c r="B286">
        <v>2020</v>
      </c>
      <c r="C286" t="s">
        <v>55</v>
      </c>
      <c r="D286">
        <v>12</v>
      </c>
      <c r="E286" s="1">
        <v>44166</v>
      </c>
      <c r="F286">
        <v>146</v>
      </c>
      <c r="G286">
        <v>191</v>
      </c>
      <c r="H286">
        <v>175.3</v>
      </c>
      <c r="I286">
        <v>154.1</v>
      </c>
      <c r="J286">
        <v>146.6</v>
      </c>
      <c r="K286">
        <v>147.69999999999999</v>
      </c>
      <c r="L286">
        <v>230.5</v>
      </c>
      <c r="M286">
        <v>160.19999999999999</v>
      </c>
      <c r="N286">
        <v>115.3</v>
      </c>
      <c r="O286">
        <v>163</v>
      </c>
      <c r="P286">
        <v>149.19999999999999</v>
      </c>
      <c r="Q286">
        <v>164.8</v>
      </c>
      <c r="R286">
        <v>165.4</v>
      </c>
      <c r="S286">
        <v>185.4</v>
      </c>
      <c r="T286">
        <v>155</v>
      </c>
      <c r="U286">
        <v>145.4</v>
      </c>
      <c r="V286">
        <v>153.6</v>
      </c>
      <c r="W286">
        <v>158.4</v>
      </c>
      <c r="X286">
        <v>144.6</v>
      </c>
      <c r="Y286">
        <v>149.69999999999999</v>
      </c>
      <c r="Z286">
        <v>158.30000000000001</v>
      </c>
      <c r="AA286">
        <v>140.69999999999999</v>
      </c>
      <c r="AB286">
        <v>148.5</v>
      </c>
      <c r="AC286">
        <v>159.4</v>
      </c>
      <c r="AD286">
        <v>157.1</v>
      </c>
      <c r="AE286">
        <v>151.19999999999999</v>
      </c>
      <c r="AF286">
        <v>158.9</v>
      </c>
    </row>
    <row r="287" spans="1:32">
      <c r="A287" t="s">
        <v>30</v>
      </c>
      <c r="B287">
        <v>2021</v>
      </c>
      <c r="C287" t="s">
        <v>31</v>
      </c>
      <c r="D287">
        <v>1</v>
      </c>
      <c r="E287" s="1">
        <v>44197</v>
      </c>
      <c r="F287">
        <v>143.4</v>
      </c>
      <c r="G287">
        <v>187.5</v>
      </c>
      <c r="H287">
        <v>173.4</v>
      </c>
      <c r="I287">
        <v>154</v>
      </c>
      <c r="J287">
        <v>154.80000000000001</v>
      </c>
      <c r="K287">
        <v>147</v>
      </c>
      <c r="L287">
        <v>187.8</v>
      </c>
      <c r="M287">
        <v>159.5</v>
      </c>
      <c r="N287">
        <v>113.8</v>
      </c>
      <c r="O287">
        <v>164.5</v>
      </c>
      <c r="P287">
        <v>156.1</v>
      </c>
      <c r="Q287">
        <v>164.3</v>
      </c>
      <c r="R287">
        <v>159.6</v>
      </c>
      <c r="S287">
        <v>184.6</v>
      </c>
      <c r="T287">
        <v>157.5</v>
      </c>
      <c r="U287">
        <v>152.4</v>
      </c>
      <c r="V287">
        <v>156.80000000000001</v>
      </c>
      <c r="X287">
        <v>150.9</v>
      </c>
      <c r="Y287">
        <v>153.9</v>
      </c>
      <c r="Z287">
        <v>162.5</v>
      </c>
      <c r="AA287">
        <v>147.5</v>
      </c>
      <c r="AB287">
        <v>155.1</v>
      </c>
      <c r="AC287">
        <v>163.5</v>
      </c>
      <c r="AD287">
        <v>156.19999999999999</v>
      </c>
      <c r="AE287">
        <v>155.9</v>
      </c>
      <c r="AF287">
        <v>158.5</v>
      </c>
    </row>
    <row r="288" spans="1:32">
      <c r="A288" t="s">
        <v>33</v>
      </c>
      <c r="B288">
        <v>2021</v>
      </c>
      <c r="C288" t="s">
        <v>31</v>
      </c>
      <c r="D288">
        <v>1</v>
      </c>
      <c r="E288" s="1">
        <v>44197</v>
      </c>
      <c r="F288">
        <v>148</v>
      </c>
      <c r="G288">
        <v>194.8</v>
      </c>
      <c r="H288">
        <v>178.4</v>
      </c>
      <c r="I288">
        <v>154.4</v>
      </c>
      <c r="J288">
        <v>144.1</v>
      </c>
      <c r="K288">
        <v>152.6</v>
      </c>
      <c r="L288">
        <v>206.8</v>
      </c>
      <c r="M288">
        <v>162.1</v>
      </c>
      <c r="N288">
        <v>116.3</v>
      </c>
      <c r="O288">
        <v>163</v>
      </c>
      <c r="P288">
        <v>145.9</v>
      </c>
      <c r="Q288">
        <v>167.2</v>
      </c>
      <c r="R288">
        <v>163.4</v>
      </c>
      <c r="S288">
        <v>191.8</v>
      </c>
      <c r="T288">
        <v>152.5</v>
      </c>
      <c r="U288">
        <v>137.30000000000001</v>
      </c>
      <c r="V288">
        <v>150.19999999999999</v>
      </c>
      <c r="W288">
        <v>157.69999999999999</v>
      </c>
      <c r="X288">
        <v>142.9</v>
      </c>
      <c r="Y288">
        <v>145.69999999999999</v>
      </c>
      <c r="Z288">
        <v>154.1</v>
      </c>
      <c r="AA288">
        <v>136.9</v>
      </c>
      <c r="AB288">
        <v>145.4</v>
      </c>
      <c r="AC288">
        <v>156.1</v>
      </c>
      <c r="AD288">
        <v>157.69999999999999</v>
      </c>
      <c r="AE288">
        <v>147.6</v>
      </c>
      <c r="AF288">
        <v>156</v>
      </c>
    </row>
    <row r="289" spans="1:32">
      <c r="A289" t="s">
        <v>35</v>
      </c>
      <c r="B289">
        <v>2021</v>
      </c>
      <c r="C289" t="s">
        <v>31</v>
      </c>
      <c r="D289">
        <v>1</v>
      </c>
      <c r="E289" s="1">
        <v>44197</v>
      </c>
      <c r="F289">
        <v>144.9</v>
      </c>
      <c r="G289">
        <v>190.1</v>
      </c>
      <c r="H289">
        <v>175.3</v>
      </c>
      <c r="I289">
        <v>154.1</v>
      </c>
      <c r="J289">
        <v>150.9</v>
      </c>
      <c r="K289">
        <v>149.6</v>
      </c>
      <c r="L289">
        <v>194.2</v>
      </c>
      <c r="M289">
        <v>160.4</v>
      </c>
      <c r="N289">
        <v>114.6</v>
      </c>
      <c r="O289">
        <v>164</v>
      </c>
      <c r="P289">
        <v>151.80000000000001</v>
      </c>
      <c r="Q289">
        <v>165.6</v>
      </c>
      <c r="R289">
        <v>161</v>
      </c>
      <c r="S289">
        <v>186.5</v>
      </c>
      <c r="T289">
        <v>155.5</v>
      </c>
      <c r="U289">
        <v>146.1</v>
      </c>
      <c r="V289">
        <v>154.19999999999999</v>
      </c>
      <c r="W289">
        <v>157.69999999999999</v>
      </c>
      <c r="X289">
        <v>147.9</v>
      </c>
      <c r="Y289">
        <v>150</v>
      </c>
      <c r="Z289">
        <v>159.30000000000001</v>
      </c>
      <c r="AA289">
        <v>141.9</v>
      </c>
      <c r="AB289">
        <v>149.6</v>
      </c>
      <c r="AC289">
        <v>159.19999999999999</v>
      </c>
      <c r="AD289">
        <v>156.80000000000001</v>
      </c>
      <c r="AE289">
        <v>151.9</v>
      </c>
      <c r="AF289">
        <v>157.30000000000001</v>
      </c>
    </row>
    <row r="290" spans="1:32">
      <c r="A290" t="s">
        <v>30</v>
      </c>
      <c r="B290">
        <v>2021</v>
      </c>
      <c r="C290" t="s">
        <v>36</v>
      </c>
      <c r="D290">
        <v>2</v>
      </c>
      <c r="E290" s="1">
        <v>44228</v>
      </c>
      <c r="F290">
        <v>142.80000000000001</v>
      </c>
      <c r="G290">
        <v>184</v>
      </c>
      <c r="H290">
        <v>168</v>
      </c>
      <c r="I290">
        <v>154.4</v>
      </c>
      <c r="J290">
        <v>163</v>
      </c>
      <c r="K290">
        <v>147.80000000000001</v>
      </c>
      <c r="L290">
        <v>149.69999999999999</v>
      </c>
      <c r="M290">
        <v>158.30000000000001</v>
      </c>
      <c r="N290">
        <v>111.8</v>
      </c>
      <c r="O290">
        <v>165</v>
      </c>
      <c r="P290">
        <v>160</v>
      </c>
      <c r="Q290">
        <v>165.8</v>
      </c>
      <c r="R290">
        <v>154.69999999999999</v>
      </c>
      <c r="S290">
        <v>186.5</v>
      </c>
      <c r="T290">
        <v>159.1</v>
      </c>
      <c r="U290">
        <v>153.9</v>
      </c>
      <c r="V290">
        <v>158.4</v>
      </c>
      <c r="X290">
        <v>154.4</v>
      </c>
      <c r="Y290">
        <v>154.80000000000001</v>
      </c>
      <c r="Z290">
        <v>164.3</v>
      </c>
      <c r="AA290">
        <v>150.19999999999999</v>
      </c>
      <c r="AB290">
        <v>157</v>
      </c>
      <c r="AC290">
        <v>163.6</v>
      </c>
      <c r="AD290">
        <v>155.19999999999999</v>
      </c>
      <c r="AE290">
        <v>157.19999999999999</v>
      </c>
      <c r="AF290">
        <v>156.69999999999999</v>
      </c>
    </row>
    <row r="291" spans="1:32">
      <c r="A291" t="s">
        <v>33</v>
      </c>
      <c r="B291">
        <v>2021</v>
      </c>
      <c r="C291" t="s">
        <v>36</v>
      </c>
      <c r="D291">
        <v>2</v>
      </c>
      <c r="E291" s="1">
        <v>44228</v>
      </c>
      <c r="F291">
        <v>147.6</v>
      </c>
      <c r="G291">
        <v>191.2</v>
      </c>
      <c r="H291">
        <v>169.9</v>
      </c>
      <c r="I291">
        <v>155.1</v>
      </c>
      <c r="J291">
        <v>151.4</v>
      </c>
      <c r="K291">
        <v>154</v>
      </c>
      <c r="L291">
        <v>180.2</v>
      </c>
      <c r="M291">
        <v>159.80000000000001</v>
      </c>
      <c r="N291">
        <v>114.9</v>
      </c>
      <c r="O291">
        <v>162.5</v>
      </c>
      <c r="P291">
        <v>149.19999999999999</v>
      </c>
      <c r="Q291">
        <v>169.4</v>
      </c>
      <c r="R291">
        <v>160.80000000000001</v>
      </c>
      <c r="S291">
        <v>193.3</v>
      </c>
      <c r="T291">
        <v>154.19999999999999</v>
      </c>
      <c r="U291">
        <v>138.19999999999999</v>
      </c>
      <c r="V291">
        <v>151.80000000000001</v>
      </c>
      <c r="W291">
        <v>159.80000000000001</v>
      </c>
      <c r="X291">
        <v>149.1</v>
      </c>
      <c r="Y291">
        <v>146.5</v>
      </c>
      <c r="Z291">
        <v>156.30000000000001</v>
      </c>
      <c r="AA291">
        <v>140.5</v>
      </c>
      <c r="AB291">
        <v>147.30000000000001</v>
      </c>
      <c r="AC291">
        <v>156.6</v>
      </c>
      <c r="AD291">
        <v>156.69999999999999</v>
      </c>
      <c r="AE291">
        <v>149.30000000000001</v>
      </c>
      <c r="AF291">
        <v>156.5</v>
      </c>
    </row>
    <row r="292" spans="1:32">
      <c r="A292" t="s">
        <v>35</v>
      </c>
      <c r="B292">
        <v>2021</v>
      </c>
      <c r="C292" t="s">
        <v>36</v>
      </c>
      <c r="D292">
        <v>2</v>
      </c>
      <c r="E292" s="1">
        <v>44228</v>
      </c>
      <c r="F292">
        <v>144.30000000000001</v>
      </c>
      <c r="G292">
        <v>186.5</v>
      </c>
      <c r="H292">
        <v>168.7</v>
      </c>
      <c r="I292">
        <v>154.69999999999999</v>
      </c>
      <c r="J292">
        <v>158.69999999999999</v>
      </c>
      <c r="K292">
        <v>150.69999999999999</v>
      </c>
      <c r="L292">
        <v>160</v>
      </c>
      <c r="M292">
        <v>158.80000000000001</v>
      </c>
      <c r="N292">
        <v>112.8</v>
      </c>
      <c r="O292">
        <v>164.2</v>
      </c>
      <c r="P292">
        <v>155.5</v>
      </c>
      <c r="Q292">
        <v>167.5</v>
      </c>
      <c r="R292">
        <v>156.9</v>
      </c>
      <c r="S292">
        <v>188.3</v>
      </c>
      <c r="T292">
        <v>157.19999999999999</v>
      </c>
      <c r="U292">
        <v>147.4</v>
      </c>
      <c r="V292">
        <v>155.80000000000001</v>
      </c>
      <c r="W292">
        <v>159.80000000000001</v>
      </c>
      <c r="X292">
        <v>152.4</v>
      </c>
      <c r="Y292">
        <v>150.9</v>
      </c>
      <c r="Z292">
        <v>161.30000000000001</v>
      </c>
      <c r="AA292">
        <v>145.1</v>
      </c>
      <c r="AB292">
        <v>151.5</v>
      </c>
      <c r="AC292">
        <v>159.5</v>
      </c>
      <c r="AD292">
        <v>155.80000000000001</v>
      </c>
      <c r="AE292">
        <v>153.4</v>
      </c>
      <c r="AF292">
        <v>156.6</v>
      </c>
    </row>
    <row r="293" spans="1:32">
      <c r="A293" t="s">
        <v>30</v>
      </c>
      <c r="B293">
        <v>2021</v>
      </c>
      <c r="C293" t="s">
        <v>38</v>
      </c>
      <c r="D293">
        <v>3</v>
      </c>
      <c r="E293" s="1">
        <v>44256</v>
      </c>
      <c r="F293">
        <v>142.5</v>
      </c>
      <c r="G293">
        <v>189.4</v>
      </c>
      <c r="H293">
        <v>163.19999999999999</v>
      </c>
      <c r="I293">
        <v>154.5</v>
      </c>
      <c r="J293">
        <v>168.2</v>
      </c>
      <c r="K293">
        <v>150.5</v>
      </c>
      <c r="L293">
        <v>141</v>
      </c>
      <c r="M293">
        <v>159.19999999999999</v>
      </c>
      <c r="N293">
        <v>111.7</v>
      </c>
      <c r="O293">
        <v>164</v>
      </c>
      <c r="P293">
        <v>160.6</v>
      </c>
      <c r="Q293">
        <v>166.4</v>
      </c>
      <c r="R293">
        <v>154.5</v>
      </c>
      <c r="S293">
        <v>186.1</v>
      </c>
      <c r="T293">
        <v>159.6</v>
      </c>
      <c r="U293">
        <v>154.4</v>
      </c>
      <c r="V293">
        <v>158.9</v>
      </c>
      <c r="X293">
        <v>156</v>
      </c>
      <c r="Y293">
        <v>154.80000000000001</v>
      </c>
      <c r="Z293">
        <v>164.6</v>
      </c>
      <c r="AA293">
        <v>151.30000000000001</v>
      </c>
      <c r="AB293">
        <v>157.80000000000001</v>
      </c>
      <c r="AC293">
        <v>163.80000000000001</v>
      </c>
      <c r="AD293">
        <v>153.1</v>
      </c>
      <c r="AE293">
        <v>157.30000000000001</v>
      </c>
      <c r="AF293">
        <v>156.69999999999999</v>
      </c>
    </row>
    <row r="294" spans="1:32">
      <c r="A294" t="s">
        <v>33</v>
      </c>
      <c r="B294">
        <v>2021</v>
      </c>
      <c r="C294" t="s">
        <v>38</v>
      </c>
      <c r="D294">
        <v>3</v>
      </c>
      <c r="E294" s="1">
        <v>44256</v>
      </c>
      <c r="F294">
        <v>147.5</v>
      </c>
      <c r="G294">
        <v>197.5</v>
      </c>
      <c r="H294">
        <v>164.7</v>
      </c>
      <c r="I294">
        <v>155.6</v>
      </c>
      <c r="J294">
        <v>156.4</v>
      </c>
      <c r="K294">
        <v>157.30000000000001</v>
      </c>
      <c r="L294">
        <v>166.1</v>
      </c>
      <c r="M294">
        <v>161.1</v>
      </c>
      <c r="N294">
        <v>114.3</v>
      </c>
      <c r="O294">
        <v>162.6</v>
      </c>
      <c r="P294">
        <v>150.69999999999999</v>
      </c>
      <c r="Q294">
        <v>170.3</v>
      </c>
      <c r="R294">
        <v>160.4</v>
      </c>
      <c r="S294">
        <v>193.5</v>
      </c>
      <c r="T294">
        <v>155.1</v>
      </c>
      <c r="U294">
        <v>138.69999999999999</v>
      </c>
      <c r="V294">
        <v>152.6</v>
      </c>
      <c r="W294">
        <v>159.9</v>
      </c>
      <c r="X294">
        <v>154.80000000000001</v>
      </c>
      <c r="Y294">
        <v>147.19999999999999</v>
      </c>
      <c r="Z294">
        <v>156.9</v>
      </c>
      <c r="AA294">
        <v>141.69999999999999</v>
      </c>
      <c r="AB294">
        <v>148.6</v>
      </c>
      <c r="AC294">
        <v>157.6</v>
      </c>
      <c r="AD294">
        <v>154.9</v>
      </c>
      <c r="AE294">
        <v>150</v>
      </c>
      <c r="AF294">
        <v>156.9</v>
      </c>
    </row>
    <row r="295" spans="1:32">
      <c r="A295" t="s">
        <v>35</v>
      </c>
      <c r="B295">
        <v>2021</v>
      </c>
      <c r="C295" t="s">
        <v>38</v>
      </c>
      <c r="D295">
        <v>3</v>
      </c>
      <c r="E295" s="1">
        <v>44256</v>
      </c>
      <c r="F295">
        <v>144.1</v>
      </c>
      <c r="G295">
        <v>192.2</v>
      </c>
      <c r="H295">
        <v>163.80000000000001</v>
      </c>
      <c r="I295">
        <v>154.9</v>
      </c>
      <c r="J295">
        <v>163.9</v>
      </c>
      <c r="K295">
        <v>153.69999999999999</v>
      </c>
      <c r="L295">
        <v>149.5</v>
      </c>
      <c r="M295">
        <v>159.80000000000001</v>
      </c>
      <c r="N295">
        <v>112.6</v>
      </c>
      <c r="O295">
        <v>163.5</v>
      </c>
      <c r="P295">
        <v>156.5</v>
      </c>
      <c r="Q295">
        <v>168.2</v>
      </c>
      <c r="R295">
        <v>156.69999999999999</v>
      </c>
      <c r="S295">
        <v>188.1</v>
      </c>
      <c r="T295">
        <v>157.80000000000001</v>
      </c>
      <c r="U295">
        <v>147.9</v>
      </c>
      <c r="V295">
        <v>156.4</v>
      </c>
      <c r="W295">
        <v>159.9</v>
      </c>
      <c r="X295">
        <v>155.5</v>
      </c>
      <c r="Y295">
        <v>151.19999999999999</v>
      </c>
      <c r="Z295">
        <v>161.69999999999999</v>
      </c>
      <c r="AA295">
        <v>146.19999999999999</v>
      </c>
      <c r="AB295">
        <v>152.6</v>
      </c>
      <c r="AC295">
        <v>160.19999999999999</v>
      </c>
      <c r="AD295">
        <v>153.80000000000001</v>
      </c>
      <c r="AE295">
        <v>153.80000000000001</v>
      </c>
      <c r="AF295">
        <v>156.80000000000001</v>
      </c>
    </row>
    <row r="296" spans="1:32">
      <c r="A296" t="s">
        <v>30</v>
      </c>
      <c r="B296">
        <v>2021</v>
      </c>
      <c r="C296" t="s">
        <v>39</v>
      </c>
      <c r="D296">
        <v>4</v>
      </c>
      <c r="E296" s="1">
        <v>44287</v>
      </c>
      <c r="F296">
        <v>142.69999999999999</v>
      </c>
      <c r="G296">
        <v>195.5</v>
      </c>
      <c r="H296">
        <v>163.4</v>
      </c>
      <c r="I296">
        <v>155</v>
      </c>
      <c r="J296">
        <v>175.2</v>
      </c>
      <c r="K296">
        <v>160.6</v>
      </c>
      <c r="L296">
        <v>135.1</v>
      </c>
      <c r="M296">
        <v>161.1</v>
      </c>
      <c r="N296">
        <v>112.2</v>
      </c>
      <c r="O296">
        <v>164.4</v>
      </c>
      <c r="P296">
        <v>161.9</v>
      </c>
      <c r="Q296">
        <v>166.8</v>
      </c>
      <c r="R296">
        <v>155.6</v>
      </c>
      <c r="S296">
        <v>186.8</v>
      </c>
      <c r="T296">
        <v>160.69999999999999</v>
      </c>
      <c r="U296">
        <v>155.1</v>
      </c>
      <c r="V296">
        <v>159.9</v>
      </c>
      <c r="X296">
        <v>156</v>
      </c>
      <c r="Y296">
        <v>155.5</v>
      </c>
      <c r="Z296">
        <v>165.3</v>
      </c>
      <c r="AA296">
        <v>151.69999999999999</v>
      </c>
      <c r="AB296">
        <v>158.6</v>
      </c>
      <c r="AC296">
        <v>164.1</v>
      </c>
      <c r="AD296">
        <v>154.6</v>
      </c>
      <c r="AE296">
        <v>158</v>
      </c>
      <c r="AF296">
        <v>157.6</v>
      </c>
    </row>
    <row r="297" spans="1:32">
      <c r="A297" t="s">
        <v>33</v>
      </c>
      <c r="B297">
        <v>2021</v>
      </c>
      <c r="C297" t="s">
        <v>39</v>
      </c>
      <c r="D297">
        <v>4</v>
      </c>
      <c r="E297" s="1">
        <v>44287</v>
      </c>
      <c r="F297">
        <v>147.6</v>
      </c>
      <c r="G297">
        <v>202.5</v>
      </c>
      <c r="H297">
        <v>166.4</v>
      </c>
      <c r="I297">
        <v>156</v>
      </c>
      <c r="J297">
        <v>161.4</v>
      </c>
      <c r="K297">
        <v>168.8</v>
      </c>
      <c r="L297">
        <v>161.6</v>
      </c>
      <c r="M297">
        <v>162.80000000000001</v>
      </c>
      <c r="N297">
        <v>114.8</v>
      </c>
      <c r="O297">
        <v>162.80000000000001</v>
      </c>
      <c r="P297">
        <v>151.5</v>
      </c>
      <c r="Q297">
        <v>171.4</v>
      </c>
      <c r="R297">
        <v>162</v>
      </c>
      <c r="S297">
        <v>194.4</v>
      </c>
      <c r="T297">
        <v>155.9</v>
      </c>
      <c r="U297">
        <v>139.30000000000001</v>
      </c>
      <c r="V297">
        <v>153.4</v>
      </c>
      <c r="W297">
        <v>161.4</v>
      </c>
      <c r="X297">
        <v>154.9</v>
      </c>
      <c r="Y297">
        <v>147.6</v>
      </c>
      <c r="Z297">
        <v>157.5</v>
      </c>
      <c r="AA297">
        <v>142.1</v>
      </c>
      <c r="AB297">
        <v>149.1</v>
      </c>
      <c r="AC297">
        <v>157.6</v>
      </c>
      <c r="AD297">
        <v>156.6</v>
      </c>
      <c r="AE297">
        <v>150.5</v>
      </c>
      <c r="AF297">
        <v>158</v>
      </c>
    </row>
    <row r="298" spans="1:32">
      <c r="A298" t="s">
        <v>35</v>
      </c>
      <c r="B298">
        <v>2021</v>
      </c>
      <c r="C298" t="s">
        <v>39</v>
      </c>
      <c r="D298">
        <v>4</v>
      </c>
      <c r="E298" s="1">
        <v>44287</v>
      </c>
      <c r="F298">
        <v>144.30000000000001</v>
      </c>
      <c r="G298">
        <v>198</v>
      </c>
      <c r="H298">
        <v>164.6</v>
      </c>
      <c r="I298">
        <v>155.4</v>
      </c>
      <c r="J298">
        <v>170.1</v>
      </c>
      <c r="K298">
        <v>164.4</v>
      </c>
      <c r="L298">
        <v>144.1</v>
      </c>
      <c r="M298">
        <v>161.69999999999999</v>
      </c>
      <c r="N298">
        <v>113.1</v>
      </c>
      <c r="O298">
        <v>163.9</v>
      </c>
      <c r="P298">
        <v>157.6</v>
      </c>
      <c r="Q298">
        <v>168.9</v>
      </c>
      <c r="R298">
        <v>158</v>
      </c>
      <c r="S298">
        <v>188.8</v>
      </c>
      <c r="T298">
        <v>158.80000000000001</v>
      </c>
      <c r="U298">
        <v>148.5</v>
      </c>
      <c r="V298">
        <v>157.30000000000001</v>
      </c>
      <c r="W298">
        <v>161.4</v>
      </c>
      <c r="X298">
        <v>155.6</v>
      </c>
      <c r="Y298">
        <v>151.80000000000001</v>
      </c>
      <c r="Z298">
        <v>162.30000000000001</v>
      </c>
      <c r="AA298">
        <v>146.6</v>
      </c>
      <c r="AB298">
        <v>153.19999999999999</v>
      </c>
      <c r="AC298">
        <v>160.30000000000001</v>
      </c>
      <c r="AD298">
        <v>155.4</v>
      </c>
      <c r="AE298">
        <v>154.4</v>
      </c>
      <c r="AF298">
        <v>157.80000000000001</v>
      </c>
    </row>
    <row r="299" spans="1:32">
      <c r="A299" t="s">
        <v>30</v>
      </c>
      <c r="B299">
        <v>2021</v>
      </c>
      <c r="C299" t="s">
        <v>41</v>
      </c>
      <c r="D299">
        <v>5</v>
      </c>
      <c r="E299" s="1">
        <v>44317</v>
      </c>
      <c r="F299">
        <v>145.1</v>
      </c>
      <c r="G299">
        <v>198.5</v>
      </c>
      <c r="H299">
        <v>168.6</v>
      </c>
      <c r="I299">
        <v>155.80000000000001</v>
      </c>
      <c r="J299">
        <v>184.4</v>
      </c>
      <c r="K299">
        <v>162.30000000000001</v>
      </c>
      <c r="L299">
        <v>138.4</v>
      </c>
      <c r="M299">
        <v>165.1</v>
      </c>
      <c r="N299">
        <v>114.3</v>
      </c>
      <c r="O299">
        <v>169.7</v>
      </c>
      <c r="P299">
        <v>164.6</v>
      </c>
      <c r="Q299">
        <v>169.8</v>
      </c>
      <c r="R299">
        <v>158.69999999999999</v>
      </c>
      <c r="S299">
        <v>189.6</v>
      </c>
      <c r="T299">
        <v>165.3</v>
      </c>
      <c r="U299">
        <v>160.6</v>
      </c>
      <c r="V299">
        <v>164.5</v>
      </c>
      <c r="X299">
        <v>161.69999999999999</v>
      </c>
      <c r="Y299">
        <v>158.80000000000001</v>
      </c>
      <c r="Z299">
        <v>169.1</v>
      </c>
      <c r="AA299">
        <v>153.19999999999999</v>
      </c>
      <c r="AB299">
        <v>160</v>
      </c>
      <c r="AC299">
        <v>167.6</v>
      </c>
      <c r="AD299">
        <v>159.30000000000001</v>
      </c>
      <c r="AE299">
        <v>161.1</v>
      </c>
      <c r="AF299">
        <v>161.1</v>
      </c>
    </row>
    <row r="300" spans="1:32">
      <c r="A300" t="s">
        <v>33</v>
      </c>
      <c r="B300">
        <v>2021</v>
      </c>
      <c r="C300" t="s">
        <v>41</v>
      </c>
      <c r="D300">
        <v>5</v>
      </c>
      <c r="E300" s="1">
        <v>44317</v>
      </c>
      <c r="F300">
        <v>148.80000000000001</v>
      </c>
      <c r="G300">
        <v>204.3</v>
      </c>
      <c r="H300">
        <v>173</v>
      </c>
      <c r="I300">
        <v>156.5</v>
      </c>
      <c r="J300">
        <v>168.8</v>
      </c>
      <c r="K300">
        <v>172.5</v>
      </c>
      <c r="L300">
        <v>166.5</v>
      </c>
      <c r="M300">
        <v>165.9</v>
      </c>
      <c r="N300">
        <v>115.9</v>
      </c>
      <c r="O300">
        <v>165.2</v>
      </c>
      <c r="P300">
        <v>152</v>
      </c>
      <c r="Q300">
        <v>171.1</v>
      </c>
      <c r="R300">
        <v>164.2</v>
      </c>
      <c r="S300">
        <v>198.2</v>
      </c>
      <c r="T300">
        <v>156.5</v>
      </c>
      <c r="U300">
        <v>140.19999999999999</v>
      </c>
      <c r="V300">
        <v>154.1</v>
      </c>
      <c r="W300">
        <v>161.6</v>
      </c>
      <c r="X300">
        <v>155.5</v>
      </c>
      <c r="Y300">
        <v>150.1</v>
      </c>
      <c r="Z300">
        <v>160.4</v>
      </c>
      <c r="AA300">
        <v>145</v>
      </c>
      <c r="AB300">
        <v>152.6</v>
      </c>
      <c r="AC300">
        <v>156.6</v>
      </c>
      <c r="AD300">
        <v>157.5</v>
      </c>
      <c r="AE300">
        <v>152.30000000000001</v>
      </c>
      <c r="AF300">
        <v>159.5</v>
      </c>
    </row>
    <row r="301" spans="1:32">
      <c r="A301" t="s">
        <v>35</v>
      </c>
      <c r="B301">
        <v>2021</v>
      </c>
      <c r="C301" t="s">
        <v>41</v>
      </c>
      <c r="D301">
        <v>5</v>
      </c>
      <c r="E301" s="1">
        <v>44317</v>
      </c>
      <c r="F301">
        <v>146.30000000000001</v>
      </c>
      <c r="G301">
        <v>200.5</v>
      </c>
      <c r="H301">
        <v>170.3</v>
      </c>
      <c r="I301">
        <v>156.1</v>
      </c>
      <c r="J301">
        <v>178.7</v>
      </c>
      <c r="K301">
        <v>167.1</v>
      </c>
      <c r="L301">
        <v>147.9</v>
      </c>
      <c r="M301">
        <v>165.4</v>
      </c>
      <c r="N301">
        <v>114.8</v>
      </c>
      <c r="O301">
        <v>168.2</v>
      </c>
      <c r="P301">
        <v>159.30000000000001</v>
      </c>
      <c r="Q301">
        <v>170.4</v>
      </c>
      <c r="R301">
        <v>160.69999999999999</v>
      </c>
      <c r="S301">
        <v>191.9</v>
      </c>
      <c r="T301">
        <v>161.80000000000001</v>
      </c>
      <c r="U301">
        <v>152.1</v>
      </c>
      <c r="V301">
        <v>160.4</v>
      </c>
      <c r="W301">
        <v>161.6</v>
      </c>
      <c r="X301">
        <v>159.4</v>
      </c>
      <c r="Y301">
        <v>154.69999999999999</v>
      </c>
      <c r="Z301">
        <v>165.8</v>
      </c>
      <c r="AA301">
        <v>148.9</v>
      </c>
      <c r="AB301">
        <v>155.80000000000001</v>
      </c>
      <c r="AC301">
        <v>161.19999999999999</v>
      </c>
      <c r="AD301">
        <v>158.6</v>
      </c>
      <c r="AE301">
        <v>156.80000000000001</v>
      </c>
      <c r="AF301">
        <v>160.4</v>
      </c>
    </row>
    <row r="302" spans="1:32">
      <c r="A302" t="s">
        <v>30</v>
      </c>
      <c r="B302">
        <v>2021</v>
      </c>
      <c r="C302" t="s">
        <v>42</v>
      </c>
      <c r="D302">
        <v>6</v>
      </c>
      <c r="E302" s="1">
        <v>44348</v>
      </c>
      <c r="F302">
        <v>145.6</v>
      </c>
      <c r="G302">
        <v>200.1</v>
      </c>
      <c r="H302">
        <v>179.3</v>
      </c>
      <c r="I302">
        <v>156.1</v>
      </c>
      <c r="J302">
        <v>190.4</v>
      </c>
      <c r="K302">
        <v>158.6</v>
      </c>
      <c r="L302">
        <v>144.69999999999999</v>
      </c>
      <c r="M302">
        <v>165.5</v>
      </c>
      <c r="N302">
        <v>114.6</v>
      </c>
      <c r="O302">
        <v>170</v>
      </c>
      <c r="P302">
        <v>165.5</v>
      </c>
      <c r="Q302">
        <v>171.7</v>
      </c>
      <c r="R302">
        <v>160.5</v>
      </c>
      <c r="S302">
        <v>189.1</v>
      </c>
      <c r="T302">
        <v>165.3</v>
      </c>
      <c r="U302">
        <v>159.9</v>
      </c>
      <c r="V302">
        <v>164.6</v>
      </c>
      <c r="X302">
        <v>162.1</v>
      </c>
      <c r="Y302">
        <v>159.19999999999999</v>
      </c>
      <c r="Z302">
        <v>169.7</v>
      </c>
      <c r="AA302">
        <v>154.19999999999999</v>
      </c>
      <c r="AB302">
        <v>160.4</v>
      </c>
      <c r="AC302">
        <v>166.8</v>
      </c>
      <c r="AD302">
        <v>159.4</v>
      </c>
      <c r="AE302">
        <v>161.5</v>
      </c>
      <c r="AF302">
        <v>162.1</v>
      </c>
    </row>
    <row r="303" spans="1:32">
      <c r="A303" t="s">
        <v>33</v>
      </c>
      <c r="B303">
        <v>2021</v>
      </c>
      <c r="C303" t="s">
        <v>42</v>
      </c>
      <c r="D303">
        <v>6</v>
      </c>
      <c r="E303" s="1">
        <v>44348</v>
      </c>
      <c r="F303">
        <v>149.19999999999999</v>
      </c>
      <c r="G303">
        <v>205.5</v>
      </c>
      <c r="H303">
        <v>182.8</v>
      </c>
      <c r="I303">
        <v>156.5</v>
      </c>
      <c r="J303">
        <v>172.2</v>
      </c>
      <c r="K303">
        <v>171.5</v>
      </c>
      <c r="L303">
        <v>176.2</v>
      </c>
      <c r="M303">
        <v>166.9</v>
      </c>
      <c r="N303">
        <v>116.1</v>
      </c>
      <c r="O303">
        <v>165.5</v>
      </c>
      <c r="P303">
        <v>152.30000000000001</v>
      </c>
      <c r="Q303">
        <v>173.3</v>
      </c>
      <c r="R303">
        <v>166.2</v>
      </c>
      <c r="S303">
        <v>195.6</v>
      </c>
      <c r="T303">
        <v>157.30000000000001</v>
      </c>
      <c r="U303">
        <v>140.5</v>
      </c>
      <c r="V303">
        <v>154.80000000000001</v>
      </c>
      <c r="W303">
        <v>160.5</v>
      </c>
      <c r="X303">
        <v>156.1</v>
      </c>
      <c r="Y303">
        <v>149.80000000000001</v>
      </c>
      <c r="Z303">
        <v>160.80000000000001</v>
      </c>
      <c r="AA303">
        <v>147.5</v>
      </c>
      <c r="AB303">
        <v>150.69999999999999</v>
      </c>
      <c r="AC303">
        <v>158.1</v>
      </c>
      <c r="AD303">
        <v>158</v>
      </c>
      <c r="AE303">
        <v>153.4</v>
      </c>
      <c r="AF303">
        <v>160.4</v>
      </c>
    </row>
    <row r="304" spans="1:32">
      <c r="A304" t="s">
        <v>35</v>
      </c>
      <c r="B304">
        <v>2021</v>
      </c>
      <c r="C304" t="s">
        <v>42</v>
      </c>
      <c r="D304">
        <v>6</v>
      </c>
      <c r="E304" s="1">
        <v>44348</v>
      </c>
      <c r="F304">
        <v>146.69999999999999</v>
      </c>
      <c r="G304">
        <v>202</v>
      </c>
      <c r="H304">
        <v>180.7</v>
      </c>
      <c r="I304">
        <v>156.19999999999999</v>
      </c>
      <c r="J304">
        <v>183.7</v>
      </c>
      <c r="K304">
        <v>164.6</v>
      </c>
      <c r="L304">
        <v>155.4</v>
      </c>
      <c r="M304">
        <v>166</v>
      </c>
      <c r="N304">
        <v>115.1</v>
      </c>
      <c r="O304">
        <v>168.5</v>
      </c>
      <c r="P304">
        <v>160</v>
      </c>
      <c r="Q304">
        <v>172.4</v>
      </c>
      <c r="R304">
        <v>162.6</v>
      </c>
      <c r="S304">
        <v>190.8</v>
      </c>
      <c r="T304">
        <v>162.19999999999999</v>
      </c>
      <c r="U304">
        <v>151.80000000000001</v>
      </c>
      <c r="V304">
        <v>160.69999999999999</v>
      </c>
      <c r="W304">
        <v>160.5</v>
      </c>
      <c r="X304">
        <v>159.80000000000001</v>
      </c>
      <c r="Y304">
        <v>154.80000000000001</v>
      </c>
      <c r="Z304">
        <v>166.3</v>
      </c>
      <c r="AA304">
        <v>150.69999999999999</v>
      </c>
      <c r="AB304">
        <v>154.9</v>
      </c>
      <c r="AC304">
        <v>161.69999999999999</v>
      </c>
      <c r="AD304">
        <v>158.80000000000001</v>
      </c>
      <c r="AE304">
        <v>157.6</v>
      </c>
      <c r="AF304">
        <v>161.30000000000001</v>
      </c>
    </row>
    <row r="305" spans="1:32">
      <c r="A305" t="s">
        <v>30</v>
      </c>
      <c r="B305">
        <v>2021</v>
      </c>
      <c r="C305" t="s">
        <v>44</v>
      </c>
      <c r="D305">
        <v>7</v>
      </c>
      <c r="E305" s="1">
        <v>44378</v>
      </c>
      <c r="F305">
        <v>145.1</v>
      </c>
      <c r="G305">
        <v>204.5</v>
      </c>
      <c r="H305">
        <v>180.4</v>
      </c>
      <c r="I305">
        <v>157.1</v>
      </c>
      <c r="J305">
        <v>188.7</v>
      </c>
      <c r="K305">
        <v>157.69999999999999</v>
      </c>
      <c r="L305">
        <v>152.80000000000001</v>
      </c>
      <c r="M305">
        <v>163.6</v>
      </c>
      <c r="N305">
        <v>113.9</v>
      </c>
      <c r="O305">
        <v>169.7</v>
      </c>
      <c r="P305">
        <v>166.2</v>
      </c>
      <c r="Q305">
        <v>171</v>
      </c>
      <c r="R305">
        <v>161.69999999999999</v>
      </c>
      <c r="S305">
        <v>189.7</v>
      </c>
      <c r="T305">
        <v>166</v>
      </c>
      <c r="U305">
        <v>161.1</v>
      </c>
      <c r="V305">
        <v>165.3</v>
      </c>
      <c r="X305">
        <v>162.5</v>
      </c>
      <c r="Y305">
        <v>160.30000000000001</v>
      </c>
      <c r="Z305">
        <v>170.4</v>
      </c>
      <c r="AA305">
        <v>157.1</v>
      </c>
      <c r="AB305">
        <v>160.69999999999999</v>
      </c>
      <c r="AC305">
        <v>167.2</v>
      </c>
      <c r="AD305">
        <v>160.4</v>
      </c>
      <c r="AE305">
        <v>162.80000000000001</v>
      </c>
      <c r="AF305">
        <v>163.19999999999999</v>
      </c>
    </row>
    <row r="306" spans="1:32">
      <c r="A306" t="s">
        <v>33</v>
      </c>
      <c r="B306">
        <v>2021</v>
      </c>
      <c r="C306" t="s">
        <v>44</v>
      </c>
      <c r="D306">
        <v>7</v>
      </c>
      <c r="E306" s="1">
        <v>44378</v>
      </c>
      <c r="F306">
        <v>149.1</v>
      </c>
      <c r="G306">
        <v>210.9</v>
      </c>
      <c r="H306">
        <v>185</v>
      </c>
      <c r="I306">
        <v>158.19999999999999</v>
      </c>
      <c r="J306">
        <v>170.6</v>
      </c>
      <c r="K306">
        <v>170.9</v>
      </c>
      <c r="L306">
        <v>186.4</v>
      </c>
      <c r="M306">
        <v>164.7</v>
      </c>
      <c r="N306">
        <v>115.7</v>
      </c>
      <c r="O306">
        <v>165.5</v>
      </c>
      <c r="P306">
        <v>153.4</v>
      </c>
      <c r="Q306">
        <v>173.5</v>
      </c>
      <c r="R306">
        <v>167.9</v>
      </c>
      <c r="S306">
        <v>195.5</v>
      </c>
      <c r="T306">
        <v>157.9</v>
      </c>
      <c r="U306">
        <v>141.9</v>
      </c>
      <c r="V306">
        <v>155.5</v>
      </c>
      <c r="W306">
        <v>161.5</v>
      </c>
      <c r="X306">
        <v>157.69999999999999</v>
      </c>
      <c r="Y306">
        <v>150.69999999999999</v>
      </c>
      <c r="Z306">
        <v>161.5</v>
      </c>
      <c r="AA306">
        <v>149.5</v>
      </c>
      <c r="AB306">
        <v>151.19999999999999</v>
      </c>
      <c r="AC306">
        <v>160.30000000000001</v>
      </c>
      <c r="AD306">
        <v>159.6</v>
      </c>
      <c r="AE306">
        <v>155</v>
      </c>
      <c r="AF306">
        <v>161.80000000000001</v>
      </c>
    </row>
    <row r="307" spans="1:32">
      <c r="A307" t="s">
        <v>35</v>
      </c>
      <c r="B307">
        <v>2021</v>
      </c>
      <c r="C307" t="s">
        <v>44</v>
      </c>
      <c r="D307">
        <v>7</v>
      </c>
      <c r="E307" s="1">
        <v>44378</v>
      </c>
      <c r="F307">
        <v>146.4</v>
      </c>
      <c r="G307">
        <v>206.8</v>
      </c>
      <c r="H307">
        <v>182.2</v>
      </c>
      <c r="I307">
        <v>157.5</v>
      </c>
      <c r="J307">
        <v>182.1</v>
      </c>
      <c r="K307">
        <v>163.9</v>
      </c>
      <c r="L307">
        <v>164.2</v>
      </c>
      <c r="M307">
        <v>164</v>
      </c>
      <c r="N307">
        <v>114.5</v>
      </c>
      <c r="O307">
        <v>168.3</v>
      </c>
      <c r="P307">
        <v>160.9</v>
      </c>
      <c r="Q307">
        <v>172.2</v>
      </c>
      <c r="R307">
        <v>164</v>
      </c>
      <c r="S307">
        <v>191.2</v>
      </c>
      <c r="T307">
        <v>162.80000000000001</v>
      </c>
      <c r="U307">
        <v>153.1</v>
      </c>
      <c r="V307">
        <v>161.4</v>
      </c>
      <c r="W307">
        <v>161.5</v>
      </c>
      <c r="X307">
        <v>160.69999999999999</v>
      </c>
      <c r="Y307">
        <v>155.80000000000001</v>
      </c>
      <c r="Z307">
        <v>167</v>
      </c>
      <c r="AA307">
        <v>153.1</v>
      </c>
      <c r="AB307">
        <v>155.30000000000001</v>
      </c>
      <c r="AC307">
        <v>163.19999999999999</v>
      </c>
      <c r="AD307">
        <v>160.1</v>
      </c>
      <c r="AE307">
        <v>159</v>
      </c>
      <c r="AF307">
        <v>162.5</v>
      </c>
    </row>
    <row r="308" spans="1:32">
      <c r="A308" t="s">
        <v>30</v>
      </c>
      <c r="B308">
        <v>2021</v>
      </c>
      <c r="C308" t="s">
        <v>46</v>
      </c>
      <c r="D308">
        <v>8</v>
      </c>
      <c r="E308" s="1">
        <v>44409</v>
      </c>
      <c r="F308">
        <v>144.9</v>
      </c>
      <c r="G308">
        <v>202.3</v>
      </c>
      <c r="H308">
        <v>176.5</v>
      </c>
      <c r="I308">
        <v>157.5</v>
      </c>
      <c r="J308">
        <v>190.9</v>
      </c>
      <c r="K308">
        <v>155.69999999999999</v>
      </c>
      <c r="L308">
        <v>153.9</v>
      </c>
      <c r="M308">
        <v>162.80000000000001</v>
      </c>
      <c r="N308">
        <v>115.2</v>
      </c>
      <c r="O308">
        <v>169.8</v>
      </c>
      <c r="P308">
        <v>167.6</v>
      </c>
      <c r="Q308">
        <v>171.9</v>
      </c>
      <c r="R308">
        <v>161.80000000000001</v>
      </c>
      <c r="S308">
        <v>190.2</v>
      </c>
      <c r="T308">
        <v>167</v>
      </c>
      <c r="U308">
        <v>162.6</v>
      </c>
      <c r="V308">
        <v>166.3</v>
      </c>
      <c r="X308">
        <v>163.1</v>
      </c>
      <c r="Y308">
        <v>160.9</v>
      </c>
      <c r="Z308">
        <v>171.1</v>
      </c>
      <c r="AA308">
        <v>157.69999999999999</v>
      </c>
      <c r="AB308">
        <v>161.1</v>
      </c>
      <c r="AC308">
        <v>167.5</v>
      </c>
      <c r="AD308">
        <v>160.30000000000001</v>
      </c>
      <c r="AE308">
        <v>163.30000000000001</v>
      </c>
      <c r="AF308">
        <v>163.6</v>
      </c>
    </row>
    <row r="309" spans="1:32">
      <c r="A309" t="s">
        <v>33</v>
      </c>
      <c r="B309">
        <v>2021</v>
      </c>
      <c r="C309" t="s">
        <v>46</v>
      </c>
      <c r="D309">
        <v>8</v>
      </c>
      <c r="E309" s="1">
        <v>44409</v>
      </c>
      <c r="F309">
        <v>149.30000000000001</v>
      </c>
      <c r="G309">
        <v>207.4</v>
      </c>
      <c r="H309">
        <v>174.1</v>
      </c>
      <c r="I309">
        <v>159.19999999999999</v>
      </c>
      <c r="J309">
        <v>175</v>
      </c>
      <c r="K309">
        <v>161.30000000000001</v>
      </c>
      <c r="L309">
        <v>183.3</v>
      </c>
      <c r="M309">
        <v>164.5</v>
      </c>
      <c r="N309">
        <v>120.4</v>
      </c>
      <c r="O309">
        <v>166.2</v>
      </c>
      <c r="P309">
        <v>154.80000000000001</v>
      </c>
      <c r="Q309">
        <v>175.1</v>
      </c>
      <c r="R309">
        <v>167.3</v>
      </c>
      <c r="S309">
        <v>196.5</v>
      </c>
      <c r="T309">
        <v>159.80000000000001</v>
      </c>
      <c r="U309">
        <v>143.6</v>
      </c>
      <c r="V309">
        <v>157.30000000000001</v>
      </c>
      <c r="W309">
        <v>162.1</v>
      </c>
      <c r="X309">
        <v>160.69999999999999</v>
      </c>
      <c r="Y309">
        <v>153.19999999999999</v>
      </c>
      <c r="Z309">
        <v>162.80000000000001</v>
      </c>
      <c r="AA309">
        <v>150.4</v>
      </c>
      <c r="AB309">
        <v>153.69999999999999</v>
      </c>
      <c r="AC309">
        <v>160.4</v>
      </c>
      <c r="AD309">
        <v>159.6</v>
      </c>
      <c r="AE309">
        <v>156</v>
      </c>
      <c r="AF309">
        <v>162.30000000000001</v>
      </c>
    </row>
    <row r="310" spans="1:32">
      <c r="A310" t="s">
        <v>35</v>
      </c>
      <c r="B310">
        <v>2021</v>
      </c>
      <c r="C310" t="s">
        <v>46</v>
      </c>
      <c r="D310">
        <v>8</v>
      </c>
      <c r="E310" s="1">
        <v>44409</v>
      </c>
      <c r="F310">
        <v>146.6</v>
      </c>
      <c r="G310">
        <v>204</v>
      </c>
      <c r="H310">
        <v>172.8</v>
      </c>
      <c r="I310">
        <v>158.4</v>
      </c>
      <c r="J310">
        <v>188</v>
      </c>
      <c r="K310">
        <v>156.80000000000001</v>
      </c>
      <c r="L310">
        <v>162.19999999999999</v>
      </c>
      <c r="M310">
        <v>164.1</v>
      </c>
      <c r="N310">
        <v>119.7</v>
      </c>
      <c r="O310">
        <v>168.8</v>
      </c>
      <c r="P310">
        <v>162.69999999999999</v>
      </c>
      <c r="Q310">
        <v>173.9</v>
      </c>
      <c r="R310">
        <v>164</v>
      </c>
      <c r="S310">
        <v>192.1</v>
      </c>
      <c r="T310">
        <v>164.5</v>
      </c>
      <c r="U310">
        <v>155.30000000000001</v>
      </c>
      <c r="V310">
        <v>163.19999999999999</v>
      </c>
      <c r="W310">
        <v>162.1</v>
      </c>
      <c r="X310">
        <v>162.6</v>
      </c>
      <c r="Y310">
        <v>157.5</v>
      </c>
      <c r="Z310">
        <v>168.4</v>
      </c>
      <c r="AA310">
        <v>154</v>
      </c>
      <c r="AB310">
        <v>157.6</v>
      </c>
      <c r="AC310">
        <v>163.80000000000001</v>
      </c>
      <c r="AD310">
        <v>160</v>
      </c>
      <c r="AE310">
        <v>160</v>
      </c>
      <c r="AF310">
        <v>163.19999999999999</v>
      </c>
    </row>
    <row r="311" spans="1:32">
      <c r="A311" t="s">
        <v>30</v>
      </c>
      <c r="B311">
        <v>2021</v>
      </c>
      <c r="C311" t="s">
        <v>48</v>
      </c>
      <c r="D311">
        <v>9</v>
      </c>
      <c r="E311" s="1">
        <v>44440</v>
      </c>
      <c r="F311">
        <v>145.4</v>
      </c>
      <c r="G311">
        <v>202.1</v>
      </c>
      <c r="H311">
        <v>172</v>
      </c>
      <c r="I311">
        <v>158</v>
      </c>
      <c r="J311">
        <v>195.5</v>
      </c>
      <c r="K311">
        <v>152.69999999999999</v>
      </c>
      <c r="L311">
        <v>151.4</v>
      </c>
      <c r="M311">
        <v>163.9</v>
      </c>
      <c r="N311">
        <v>119.3</v>
      </c>
      <c r="O311">
        <v>170.1</v>
      </c>
      <c r="P311">
        <v>168.3</v>
      </c>
      <c r="Q311">
        <v>172.8</v>
      </c>
      <c r="R311">
        <v>162.1</v>
      </c>
      <c r="S311">
        <v>190.5</v>
      </c>
      <c r="T311">
        <v>167.7</v>
      </c>
      <c r="U311">
        <v>163.6</v>
      </c>
      <c r="V311">
        <v>167.1</v>
      </c>
      <c r="X311">
        <v>163.69999999999999</v>
      </c>
      <c r="Y311">
        <v>161.30000000000001</v>
      </c>
      <c r="Z311">
        <v>171.9</v>
      </c>
      <c r="AA311">
        <v>157.80000000000001</v>
      </c>
      <c r="AB311">
        <v>162.69999999999999</v>
      </c>
      <c r="AC311">
        <v>168.5</v>
      </c>
      <c r="AD311">
        <v>160.19999999999999</v>
      </c>
      <c r="AE311">
        <v>163.80000000000001</v>
      </c>
      <c r="AF311">
        <v>164</v>
      </c>
    </row>
    <row r="312" spans="1:32">
      <c r="A312" t="s">
        <v>33</v>
      </c>
      <c r="B312">
        <v>2021</v>
      </c>
      <c r="C312" t="s">
        <v>48</v>
      </c>
      <c r="D312">
        <v>9</v>
      </c>
      <c r="E312" s="1">
        <v>44440</v>
      </c>
      <c r="F312">
        <v>149.30000000000001</v>
      </c>
      <c r="G312">
        <v>207.4</v>
      </c>
      <c r="H312">
        <v>174.1</v>
      </c>
      <c r="I312">
        <v>159.1</v>
      </c>
      <c r="J312">
        <v>175</v>
      </c>
      <c r="K312">
        <v>161.19999999999999</v>
      </c>
      <c r="L312">
        <v>183.5</v>
      </c>
      <c r="M312">
        <v>164.5</v>
      </c>
      <c r="N312">
        <v>120.4</v>
      </c>
      <c r="O312">
        <v>166.2</v>
      </c>
      <c r="P312">
        <v>154.80000000000001</v>
      </c>
      <c r="Q312">
        <v>175.1</v>
      </c>
      <c r="R312">
        <v>167.3</v>
      </c>
      <c r="S312">
        <v>196.5</v>
      </c>
      <c r="T312">
        <v>159.80000000000001</v>
      </c>
      <c r="U312">
        <v>143.6</v>
      </c>
      <c r="V312">
        <v>157.4</v>
      </c>
      <c r="W312">
        <v>162.1</v>
      </c>
      <c r="X312">
        <v>160.80000000000001</v>
      </c>
      <c r="Y312">
        <v>153.30000000000001</v>
      </c>
      <c r="Z312">
        <v>162.80000000000001</v>
      </c>
      <c r="AA312">
        <v>150.5</v>
      </c>
      <c r="AB312">
        <v>153.9</v>
      </c>
      <c r="AC312">
        <v>160.30000000000001</v>
      </c>
      <c r="AD312">
        <v>159.6</v>
      </c>
      <c r="AE312">
        <v>156</v>
      </c>
      <c r="AF312">
        <v>162.30000000000001</v>
      </c>
    </row>
    <row r="313" spans="1:32">
      <c r="A313" t="s">
        <v>35</v>
      </c>
      <c r="B313">
        <v>2021</v>
      </c>
      <c r="C313" t="s">
        <v>48</v>
      </c>
      <c r="D313">
        <v>9</v>
      </c>
      <c r="E313" s="1">
        <v>44440</v>
      </c>
      <c r="F313">
        <v>146.6</v>
      </c>
      <c r="G313">
        <v>204</v>
      </c>
      <c r="H313">
        <v>172.8</v>
      </c>
      <c r="I313">
        <v>158.4</v>
      </c>
      <c r="J313">
        <v>188</v>
      </c>
      <c r="K313">
        <v>156.69999999999999</v>
      </c>
      <c r="L313">
        <v>162.30000000000001</v>
      </c>
      <c r="M313">
        <v>164.1</v>
      </c>
      <c r="N313">
        <v>119.7</v>
      </c>
      <c r="O313">
        <v>168.8</v>
      </c>
      <c r="P313">
        <v>162.69999999999999</v>
      </c>
      <c r="Q313">
        <v>173.9</v>
      </c>
      <c r="R313">
        <v>164</v>
      </c>
      <c r="S313">
        <v>192.1</v>
      </c>
      <c r="T313">
        <v>164.6</v>
      </c>
      <c r="U313">
        <v>155.30000000000001</v>
      </c>
      <c r="V313">
        <v>163.30000000000001</v>
      </c>
      <c r="W313">
        <v>162.1</v>
      </c>
      <c r="X313">
        <v>162.6</v>
      </c>
      <c r="Y313">
        <v>157.5</v>
      </c>
      <c r="Z313">
        <v>168.4</v>
      </c>
      <c r="AA313">
        <v>154</v>
      </c>
      <c r="AB313">
        <v>157.69999999999999</v>
      </c>
      <c r="AC313">
        <v>163.69999999999999</v>
      </c>
      <c r="AD313">
        <v>160</v>
      </c>
      <c r="AE313">
        <v>160</v>
      </c>
      <c r="AF313">
        <v>163.19999999999999</v>
      </c>
    </row>
    <row r="314" spans="1:32">
      <c r="A314" t="s">
        <v>30</v>
      </c>
      <c r="B314">
        <v>2021</v>
      </c>
      <c r="C314" t="s">
        <v>50</v>
      </c>
      <c r="D314">
        <v>10</v>
      </c>
      <c r="E314" s="1">
        <v>44470</v>
      </c>
      <c r="F314">
        <v>146.1</v>
      </c>
      <c r="G314">
        <v>202.5</v>
      </c>
      <c r="H314">
        <v>170.1</v>
      </c>
      <c r="I314">
        <v>158.4</v>
      </c>
      <c r="J314">
        <v>198.8</v>
      </c>
      <c r="K314">
        <v>152.6</v>
      </c>
      <c r="L314">
        <v>170.4</v>
      </c>
      <c r="M314">
        <v>165.2</v>
      </c>
      <c r="N314">
        <v>121.6</v>
      </c>
      <c r="O314">
        <v>170.6</v>
      </c>
      <c r="P314">
        <v>168.8</v>
      </c>
      <c r="Q314">
        <v>173.6</v>
      </c>
      <c r="R314">
        <v>165.5</v>
      </c>
      <c r="S314">
        <v>191.2</v>
      </c>
      <c r="T314">
        <v>168.9</v>
      </c>
      <c r="U314">
        <v>164.8</v>
      </c>
      <c r="V314">
        <v>168.3</v>
      </c>
      <c r="X314">
        <v>165.5</v>
      </c>
      <c r="Y314">
        <v>162</v>
      </c>
      <c r="Z314">
        <v>172.5</v>
      </c>
      <c r="AA314">
        <v>159.5</v>
      </c>
      <c r="AB314">
        <v>163.19999999999999</v>
      </c>
      <c r="AC314">
        <v>169</v>
      </c>
      <c r="AD314">
        <v>161.1</v>
      </c>
      <c r="AE314">
        <v>164.7</v>
      </c>
      <c r="AF314">
        <v>166.3</v>
      </c>
    </row>
    <row r="315" spans="1:32">
      <c r="A315" t="s">
        <v>33</v>
      </c>
      <c r="B315">
        <v>2021</v>
      </c>
      <c r="C315" t="s">
        <v>50</v>
      </c>
      <c r="D315">
        <v>10</v>
      </c>
      <c r="E315" s="1">
        <v>44470</v>
      </c>
      <c r="F315">
        <v>150.1</v>
      </c>
      <c r="G315">
        <v>208.4</v>
      </c>
      <c r="H315">
        <v>173</v>
      </c>
      <c r="I315">
        <v>159.19999999999999</v>
      </c>
      <c r="J315">
        <v>176.6</v>
      </c>
      <c r="K315">
        <v>159.30000000000001</v>
      </c>
      <c r="L315">
        <v>214.4</v>
      </c>
      <c r="M315">
        <v>165.3</v>
      </c>
      <c r="N315">
        <v>122.5</v>
      </c>
      <c r="O315">
        <v>166.8</v>
      </c>
      <c r="P315">
        <v>155.4</v>
      </c>
      <c r="Q315">
        <v>175.9</v>
      </c>
      <c r="R315">
        <v>171.5</v>
      </c>
      <c r="S315">
        <v>197</v>
      </c>
      <c r="T315">
        <v>160.80000000000001</v>
      </c>
      <c r="U315">
        <v>144.4</v>
      </c>
      <c r="V315">
        <v>158.30000000000001</v>
      </c>
      <c r="W315">
        <v>163.6</v>
      </c>
      <c r="X315">
        <v>162.19999999999999</v>
      </c>
      <c r="Y315">
        <v>154.30000000000001</v>
      </c>
      <c r="Z315">
        <v>163.5</v>
      </c>
      <c r="AA315">
        <v>152.19999999999999</v>
      </c>
      <c r="AB315">
        <v>155.1</v>
      </c>
      <c r="AC315">
        <v>160.30000000000001</v>
      </c>
      <c r="AD315">
        <v>160.30000000000001</v>
      </c>
      <c r="AE315">
        <v>157</v>
      </c>
      <c r="AF315">
        <v>164.6</v>
      </c>
    </row>
    <row r="316" spans="1:32">
      <c r="A316" t="s">
        <v>35</v>
      </c>
      <c r="B316">
        <v>2021</v>
      </c>
      <c r="C316" t="s">
        <v>50</v>
      </c>
      <c r="D316">
        <v>10</v>
      </c>
      <c r="E316" s="1">
        <v>44470</v>
      </c>
      <c r="F316">
        <v>147.4</v>
      </c>
      <c r="G316">
        <v>204.6</v>
      </c>
      <c r="H316">
        <v>171.2</v>
      </c>
      <c r="I316">
        <v>158.69999999999999</v>
      </c>
      <c r="J316">
        <v>190.6</v>
      </c>
      <c r="K316">
        <v>155.69999999999999</v>
      </c>
      <c r="L316">
        <v>185.3</v>
      </c>
      <c r="M316">
        <v>165.2</v>
      </c>
      <c r="N316">
        <v>121.9</v>
      </c>
      <c r="O316">
        <v>169.3</v>
      </c>
      <c r="P316">
        <v>163.19999999999999</v>
      </c>
      <c r="Q316">
        <v>174.7</v>
      </c>
      <c r="R316">
        <v>167.7</v>
      </c>
      <c r="S316">
        <v>192.7</v>
      </c>
      <c r="T316">
        <v>165.7</v>
      </c>
      <c r="U316">
        <v>156.30000000000001</v>
      </c>
      <c r="V316">
        <v>164.3</v>
      </c>
      <c r="W316">
        <v>163.6</v>
      </c>
      <c r="X316">
        <v>164.2</v>
      </c>
      <c r="Y316">
        <v>158.4</v>
      </c>
      <c r="Z316">
        <v>169.1</v>
      </c>
      <c r="AA316">
        <v>155.69999999999999</v>
      </c>
      <c r="AB316">
        <v>158.6</v>
      </c>
      <c r="AC316">
        <v>163.9</v>
      </c>
      <c r="AD316">
        <v>160.80000000000001</v>
      </c>
      <c r="AE316">
        <v>161</v>
      </c>
      <c r="AF316">
        <v>165.5</v>
      </c>
    </row>
    <row r="317" spans="1:32">
      <c r="A317" t="s">
        <v>30</v>
      </c>
      <c r="B317">
        <v>2021</v>
      </c>
      <c r="C317" t="s">
        <v>53</v>
      </c>
      <c r="D317">
        <v>11</v>
      </c>
      <c r="E317" s="1">
        <v>44501</v>
      </c>
      <c r="F317">
        <v>146.9</v>
      </c>
      <c r="G317">
        <v>199.8</v>
      </c>
      <c r="H317">
        <v>171.5</v>
      </c>
      <c r="I317">
        <v>159.1</v>
      </c>
      <c r="J317">
        <v>198.4</v>
      </c>
      <c r="K317">
        <v>153.19999999999999</v>
      </c>
      <c r="L317">
        <v>183.9</v>
      </c>
      <c r="M317">
        <v>165.4</v>
      </c>
      <c r="N317">
        <v>122.1</v>
      </c>
      <c r="O317">
        <v>170.8</v>
      </c>
      <c r="P317">
        <v>169.1</v>
      </c>
      <c r="Q317">
        <v>174.3</v>
      </c>
      <c r="R317">
        <v>167.5</v>
      </c>
      <c r="S317">
        <v>191.4</v>
      </c>
      <c r="T317">
        <v>170.4</v>
      </c>
      <c r="U317">
        <v>166</v>
      </c>
      <c r="V317">
        <v>169.8</v>
      </c>
      <c r="X317">
        <v>165.3</v>
      </c>
      <c r="Y317">
        <v>162.9</v>
      </c>
      <c r="Z317">
        <v>173.4</v>
      </c>
      <c r="AA317">
        <v>158.9</v>
      </c>
      <c r="AB317">
        <v>163.80000000000001</v>
      </c>
      <c r="AC317">
        <v>169.3</v>
      </c>
      <c r="AD317">
        <v>162.4</v>
      </c>
      <c r="AE317">
        <v>165.2</v>
      </c>
      <c r="AF317">
        <v>167.6</v>
      </c>
    </row>
    <row r="318" spans="1:32">
      <c r="A318" t="s">
        <v>33</v>
      </c>
      <c r="B318">
        <v>2021</v>
      </c>
      <c r="C318" t="s">
        <v>53</v>
      </c>
      <c r="D318">
        <v>11</v>
      </c>
      <c r="E318" s="1">
        <v>44501</v>
      </c>
      <c r="F318">
        <v>151</v>
      </c>
      <c r="G318">
        <v>204.9</v>
      </c>
      <c r="H318">
        <v>175.4</v>
      </c>
      <c r="I318">
        <v>159.6</v>
      </c>
      <c r="J318">
        <v>175.8</v>
      </c>
      <c r="K318">
        <v>160.30000000000001</v>
      </c>
      <c r="L318">
        <v>229.1</v>
      </c>
      <c r="M318">
        <v>165.1</v>
      </c>
      <c r="N318">
        <v>123.1</v>
      </c>
      <c r="O318">
        <v>167.2</v>
      </c>
      <c r="P318">
        <v>156.1</v>
      </c>
      <c r="Q318">
        <v>176.8</v>
      </c>
      <c r="R318">
        <v>173.5</v>
      </c>
      <c r="S318">
        <v>197</v>
      </c>
      <c r="T318">
        <v>162.30000000000001</v>
      </c>
      <c r="U318">
        <v>145.30000000000001</v>
      </c>
      <c r="V318">
        <v>159.69999999999999</v>
      </c>
      <c r="W318">
        <v>164.2</v>
      </c>
      <c r="X318">
        <v>161.6</v>
      </c>
      <c r="Y318">
        <v>155.19999999999999</v>
      </c>
      <c r="Z318">
        <v>164.2</v>
      </c>
      <c r="AA318">
        <v>151.19999999999999</v>
      </c>
      <c r="AB318">
        <v>156.69999999999999</v>
      </c>
      <c r="AC318">
        <v>160.80000000000001</v>
      </c>
      <c r="AD318">
        <v>161.80000000000001</v>
      </c>
      <c r="AE318">
        <v>157.30000000000001</v>
      </c>
      <c r="AF318">
        <v>165.6</v>
      </c>
    </row>
    <row r="319" spans="1:32">
      <c r="A319" t="s">
        <v>35</v>
      </c>
      <c r="B319">
        <v>2021</v>
      </c>
      <c r="C319" t="s">
        <v>53</v>
      </c>
      <c r="D319">
        <v>11</v>
      </c>
      <c r="E319" s="1">
        <v>44501</v>
      </c>
      <c r="F319">
        <v>148.19999999999999</v>
      </c>
      <c r="G319">
        <v>201.6</v>
      </c>
      <c r="H319">
        <v>173</v>
      </c>
      <c r="I319">
        <v>159.30000000000001</v>
      </c>
      <c r="J319">
        <v>190.1</v>
      </c>
      <c r="K319">
        <v>156.5</v>
      </c>
      <c r="L319">
        <v>199.2</v>
      </c>
      <c r="M319">
        <v>165.3</v>
      </c>
      <c r="N319">
        <v>122.4</v>
      </c>
      <c r="O319">
        <v>169.6</v>
      </c>
      <c r="P319">
        <v>163.69999999999999</v>
      </c>
      <c r="Q319">
        <v>175.5</v>
      </c>
      <c r="R319">
        <v>169.7</v>
      </c>
      <c r="S319">
        <v>192.9</v>
      </c>
      <c r="T319">
        <v>167.2</v>
      </c>
      <c r="U319">
        <v>157.4</v>
      </c>
      <c r="V319">
        <v>165.8</v>
      </c>
      <c r="W319">
        <v>164.2</v>
      </c>
      <c r="X319">
        <v>163.9</v>
      </c>
      <c r="Y319">
        <v>159.30000000000001</v>
      </c>
      <c r="Z319">
        <v>169.9</v>
      </c>
      <c r="AA319">
        <v>154.80000000000001</v>
      </c>
      <c r="AB319">
        <v>159.80000000000001</v>
      </c>
      <c r="AC319">
        <v>164.3</v>
      </c>
      <c r="AD319">
        <v>162.19999999999999</v>
      </c>
      <c r="AE319">
        <v>161.4</v>
      </c>
      <c r="AF319">
        <v>166.7</v>
      </c>
    </row>
    <row r="320" spans="1:32">
      <c r="A320" t="s">
        <v>30</v>
      </c>
      <c r="B320">
        <v>2021</v>
      </c>
      <c r="C320" t="s">
        <v>55</v>
      </c>
      <c r="D320">
        <v>12</v>
      </c>
      <c r="E320" s="1">
        <v>44531</v>
      </c>
      <c r="F320">
        <v>147.4</v>
      </c>
      <c r="G320">
        <v>197</v>
      </c>
      <c r="H320">
        <v>176.5</v>
      </c>
      <c r="I320">
        <v>159.80000000000001</v>
      </c>
      <c r="J320">
        <v>195.8</v>
      </c>
      <c r="K320">
        <v>152</v>
      </c>
      <c r="L320">
        <v>172.3</v>
      </c>
      <c r="M320">
        <v>164.5</v>
      </c>
      <c r="N320">
        <v>120.6</v>
      </c>
      <c r="O320">
        <v>171.7</v>
      </c>
      <c r="P320">
        <v>169.7</v>
      </c>
      <c r="Q320">
        <v>175.1</v>
      </c>
      <c r="R320">
        <v>165.8</v>
      </c>
      <c r="S320">
        <v>190.8</v>
      </c>
      <c r="T320">
        <v>171.8</v>
      </c>
      <c r="U320">
        <v>167.3</v>
      </c>
      <c r="V320">
        <v>171.2</v>
      </c>
      <c r="X320">
        <v>165.6</v>
      </c>
      <c r="Y320">
        <v>163.9</v>
      </c>
      <c r="Z320">
        <v>174</v>
      </c>
      <c r="AA320">
        <v>160.1</v>
      </c>
      <c r="AB320">
        <v>164.5</v>
      </c>
      <c r="AC320">
        <v>169.7</v>
      </c>
      <c r="AD320">
        <v>162.80000000000001</v>
      </c>
      <c r="AE320">
        <v>166</v>
      </c>
      <c r="AF320">
        <v>167</v>
      </c>
    </row>
    <row r="321" spans="1:32">
      <c r="A321" t="s">
        <v>33</v>
      </c>
      <c r="B321">
        <v>2021</v>
      </c>
      <c r="C321" t="s">
        <v>55</v>
      </c>
      <c r="D321">
        <v>12</v>
      </c>
      <c r="E321" s="1">
        <v>44531</v>
      </c>
      <c r="F321">
        <v>151.6</v>
      </c>
      <c r="G321">
        <v>202.2</v>
      </c>
      <c r="H321">
        <v>180</v>
      </c>
      <c r="I321">
        <v>160</v>
      </c>
      <c r="J321">
        <v>173.5</v>
      </c>
      <c r="K321">
        <v>158.30000000000001</v>
      </c>
      <c r="L321">
        <v>219.5</v>
      </c>
      <c r="M321">
        <v>164.2</v>
      </c>
      <c r="N321">
        <v>121.9</v>
      </c>
      <c r="O321">
        <v>168.2</v>
      </c>
      <c r="P321">
        <v>156.5</v>
      </c>
      <c r="Q321">
        <v>178.2</v>
      </c>
      <c r="R321">
        <v>172.2</v>
      </c>
      <c r="S321">
        <v>196.8</v>
      </c>
      <c r="T321">
        <v>163.30000000000001</v>
      </c>
      <c r="U321">
        <v>146.69999999999999</v>
      </c>
      <c r="V321">
        <v>160.69999999999999</v>
      </c>
      <c r="W321">
        <v>163.4</v>
      </c>
      <c r="X321">
        <v>161.69999999999999</v>
      </c>
      <c r="Y321">
        <v>156</v>
      </c>
      <c r="Z321">
        <v>165.1</v>
      </c>
      <c r="AA321">
        <v>151.80000000000001</v>
      </c>
      <c r="AB321">
        <v>157.6</v>
      </c>
      <c r="AC321">
        <v>160.6</v>
      </c>
      <c r="AD321">
        <v>162.4</v>
      </c>
      <c r="AE321">
        <v>157.80000000000001</v>
      </c>
      <c r="AF321">
        <v>165.2</v>
      </c>
    </row>
    <row r="322" spans="1:32">
      <c r="A322" t="s">
        <v>35</v>
      </c>
      <c r="B322">
        <v>2021</v>
      </c>
      <c r="C322" t="s">
        <v>55</v>
      </c>
      <c r="D322">
        <v>12</v>
      </c>
      <c r="E322" s="1">
        <v>44531</v>
      </c>
      <c r="F322">
        <v>148.69999999999999</v>
      </c>
      <c r="G322">
        <v>198.8</v>
      </c>
      <c r="H322">
        <v>177.9</v>
      </c>
      <c r="I322">
        <v>159.9</v>
      </c>
      <c r="J322">
        <v>187.6</v>
      </c>
      <c r="K322">
        <v>154.9</v>
      </c>
      <c r="L322">
        <v>188.3</v>
      </c>
      <c r="M322">
        <v>164.4</v>
      </c>
      <c r="N322">
        <v>121</v>
      </c>
      <c r="O322">
        <v>170.5</v>
      </c>
      <c r="P322">
        <v>164.2</v>
      </c>
      <c r="Q322">
        <v>176.5</v>
      </c>
      <c r="R322">
        <v>168.2</v>
      </c>
      <c r="S322">
        <v>192.4</v>
      </c>
      <c r="T322">
        <v>168.5</v>
      </c>
      <c r="U322">
        <v>158.69999999999999</v>
      </c>
      <c r="V322">
        <v>167</v>
      </c>
      <c r="W322">
        <v>163.4</v>
      </c>
      <c r="X322">
        <v>164.1</v>
      </c>
      <c r="Y322">
        <v>160.19999999999999</v>
      </c>
      <c r="Z322">
        <v>170.6</v>
      </c>
      <c r="AA322">
        <v>155.69999999999999</v>
      </c>
      <c r="AB322">
        <v>160.6</v>
      </c>
      <c r="AC322">
        <v>164.4</v>
      </c>
      <c r="AD322">
        <v>162.6</v>
      </c>
      <c r="AE322">
        <v>162</v>
      </c>
      <c r="AF322">
        <v>166.2</v>
      </c>
    </row>
    <row r="323" spans="1:32">
      <c r="A323" t="s">
        <v>30</v>
      </c>
      <c r="B323">
        <v>2022</v>
      </c>
      <c r="C323" t="s">
        <v>31</v>
      </c>
      <c r="D323">
        <v>1</v>
      </c>
      <c r="E323" s="1">
        <v>44562</v>
      </c>
      <c r="F323">
        <v>148.30000000000001</v>
      </c>
      <c r="G323">
        <v>196.9</v>
      </c>
      <c r="H323">
        <v>178</v>
      </c>
      <c r="I323">
        <v>160.5</v>
      </c>
      <c r="J323">
        <v>192.6</v>
      </c>
      <c r="K323">
        <v>151.19999999999999</v>
      </c>
      <c r="L323">
        <v>159.19999999999999</v>
      </c>
      <c r="M323">
        <v>164</v>
      </c>
      <c r="N323">
        <v>119.3</v>
      </c>
      <c r="O323">
        <v>173.3</v>
      </c>
      <c r="P323">
        <v>169.8</v>
      </c>
      <c r="Q323">
        <v>175.8</v>
      </c>
      <c r="R323">
        <v>164.1</v>
      </c>
      <c r="S323">
        <v>190.7</v>
      </c>
      <c r="T323">
        <v>173.2</v>
      </c>
      <c r="U323">
        <v>169.3</v>
      </c>
      <c r="V323">
        <v>172.7</v>
      </c>
      <c r="X323">
        <v>165.8</v>
      </c>
      <c r="Y323">
        <v>164.9</v>
      </c>
      <c r="Z323">
        <v>174.7</v>
      </c>
      <c r="AA323">
        <v>160.80000000000001</v>
      </c>
      <c r="AB323">
        <v>164.9</v>
      </c>
      <c r="AC323">
        <v>169.9</v>
      </c>
      <c r="AD323">
        <v>163.19999999999999</v>
      </c>
      <c r="AE323">
        <v>166.6</v>
      </c>
      <c r="AF323">
        <v>166.4</v>
      </c>
    </row>
    <row r="324" spans="1:32">
      <c r="A324" t="s">
        <v>33</v>
      </c>
      <c r="B324">
        <v>2022</v>
      </c>
      <c r="C324" t="s">
        <v>31</v>
      </c>
      <c r="D324">
        <v>1</v>
      </c>
      <c r="E324" s="1">
        <v>44562</v>
      </c>
      <c r="F324">
        <v>152.19999999999999</v>
      </c>
      <c r="G324">
        <v>202.1</v>
      </c>
      <c r="H324">
        <v>180.1</v>
      </c>
      <c r="I324">
        <v>160.4</v>
      </c>
      <c r="J324">
        <v>171</v>
      </c>
      <c r="K324">
        <v>156.5</v>
      </c>
      <c r="L324">
        <v>203.6</v>
      </c>
      <c r="M324">
        <v>163.80000000000001</v>
      </c>
      <c r="N324">
        <v>121.3</v>
      </c>
      <c r="O324">
        <v>169.8</v>
      </c>
      <c r="P324">
        <v>156.6</v>
      </c>
      <c r="Q324">
        <v>179</v>
      </c>
      <c r="R324">
        <v>170.3</v>
      </c>
      <c r="S324">
        <v>196.4</v>
      </c>
      <c r="T324">
        <v>164.7</v>
      </c>
      <c r="U324">
        <v>148.5</v>
      </c>
      <c r="V324">
        <v>162.19999999999999</v>
      </c>
      <c r="W324">
        <v>164.5</v>
      </c>
      <c r="X324">
        <v>161.6</v>
      </c>
      <c r="Y324">
        <v>156.80000000000001</v>
      </c>
      <c r="Z324">
        <v>166.1</v>
      </c>
      <c r="AA324">
        <v>152.69999999999999</v>
      </c>
      <c r="AB324">
        <v>158.4</v>
      </c>
      <c r="AC324">
        <v>161</v>
      </c>
      <c r="AD324">
        <v>162.80000000000001</v>
      </c>
      <c r="AE324">
        <v>158.6</v>
      </c>
      <c r="AF324">
        <v>165</v>
      </c>
    </row>
    <row r="325" spans="1:32">
      <c r="A325" t="s">
        <v>35</v>
      </c>
      <c r="B325">
        <v>2022</v>
      </c>
      <c r="C325" t="s">
        <v>31</v>
      </c>
      <c r="D325">
        <v>1</v>
      </c>
      <c r="E325" s="1">
        <v>44562</v>
      </c>
      <c r="F325">
        <v>149.5</v>
      </c>
      <c r="G325">
        <v>198.7</v>
      </c>
      <c r="H325">
        <v>178.8</v>
      </c>
      <c r="I325">
        <v>160.5</v>
      </c>
      <c r="J325">
        <v>184.7</v>
      </c>
      <c r="K325">
        <v>153.69999999999999</v>
      </c>
      <c r="L325">
        <v>174.3</v>
      </c>
      <c r="M325">
        <v>163.9</v>
      </c>
      <c r="N325">
        <v>120</v>
      </c>
      <c r="O325">
        <v>172.1</v>
      </c>
      <c r="P325">
        <v>164.3</v>
      </c>
      <c r="Q325">
        <v>177.3</v>
      </c>
      <c r="R325">
        <v>166.4</v>
      </c>
      <c r="S325">
        <v>192.2</v>
      </c>
      <c r="T325">
        <v>169.9</v>
      </c>
      <c r="U325">
        <v>160.69999999999999</v>
      </c>
      <c r="V325">
        <v>168.5</v>
      </c>
      <c r="W325">
        <v>164.5</v>
      </c>
      <c r="X325">
        <v>164.2</v>
      </c>
      <c r="Y325">
        <v>161.1</v>
      </c>
      <c r="Z325">
        <v>171.4</v>
      </c>
      <c r="AA325">
        <v>156.5</v>
      </c>
      <c r="AB325">
        <v>161.19999999999999</v>
      </c>
      <c r="AC325">
        <v>164.7</v>
      </c>
      <c r="AD325">
        <v>163</v>
      </c>
      <c r="AE325">
        <v>162.69999999999999</v>
      </c>
      <c r="AF325">
        <v>165.7</v>
      </c>
    </row>
    <row r="326" spans="1:32">
      <c r="A326" t="s">
        <v>30</v>
      </c>
      <c r="B326">
        <v>2022</v>
      </c>
      <c r="C326" t="s">
        <v>36</v>
      </c>
      <c r="D326">
        <v>2</v>
      </c>
      <c r="E326" s="1">
        <v>44593</v>
      </c>
      <c r="F326">
        <v>148.80000000000001</v>
      </c>
      <c r="G326">
        <v>198.1</v>
      </c>
      <c r="H326">
        <v>175.5</v>
      </c>
      <c r="I326">
        <v>160.69999999999999</v>
      </c>
      <c r="J326">
        <v>192.6</v>
      </c>
      <c r="K326">
        <v>151.4</v>
      </c>
      <c r="L326">
        <v>155.19999999999999</v>
      </c>
      <c r="M326">
        <v>163.9</v>
      </c>
      <c r="N326">
        <v>118.1</v>
      </c>
      <c r="O326">
        <v>175.4</v>
      </c>
      <c r="P326">
        <v>170.5</v>
      </c>
      <c r="Q326">
        <v>176.3</v>
      </c>
      <c r="R326">
        <v>163.9</v>
      </c>
      <c r="S326">
        <v>191.5</v>
      </c>
      <c r="T326">
        <v>174.1</v>
      </c>
      <c r="U326">
        <v>171</v>
      </c>
      <c r="V326">
        <v>173.7</v>
      </c>
      <c r="X326">
        <v>167.4</v>
      </c>
      <c r="Y326">
        <v>165.7</v>
      </c>
      <c r="Z326">
        <v>175.3</v>
      </c>
      <c r="AA326">
        <v>161.19999999999999</v>
      </c>
      <c r="AB326">
        <v>165.5</v>
      </c>
      <c r="AC326">
        <v>170.3</v>
      </c>
      <c r="AD326">
        <v>164.5</v>
      </c>
      <c r="AE326">
        <v>167.3</v>
      </c>
      <c r="AF326">
        <v>166.7</v>
      </c>
    </row>
    <row r="327" spans="1:32">
      <c r="A327" t="s">
        <v>33</v>
      </c>
      <c r="B327">
        <v>2022</v>
      </c>
      <c r="C327" t="s">
        <v>36</v>
      </c>
      <c r="D327">
        <v>2</v>
      </c>
      <c r="E327" s="1">
        <v>44593</v>
      </c>
      <c r="F327">
        <v>152.5</v>
      </c>
      <c r="G327">
        <v>205.2</v>
      </c>
      <c r="H327">
        <v>176.4</v>
      </c>
      <c r="I327">
        <v>160.6</v>
      </c>
      <c r="J327">
        <v>171.5</v>
      </c>
      <c r="K327">
        <v>156.4</v>
      </c>
      <c r="L327">
        <v>198</v>
      </c>
      <c r="M327">
        <v>163.19999999999999</v>
      </c>
      <c r="N327">
        <v>120.6</v>
      </c>
      <c r="O327">
        <v>172.2</v>
      </c>
      <c r="P327">
        <v>156.69999999999999</v>
      </c>
      <c r="Q327">
        <v>180</v>
      </c>
      <c r="R327">
        <v>170.2</v>
      </c>
      <c r="S327">
        <v>196.5</v>
      </c>
      <c r="T327">
        <v>165.7</v>
      </c>
      <c r="U327">
        <v>150.4</v>
      </c>
      <c r="V327">
        <v>163.4</v>
      </c>
      <c r="W327">
        <v>165.5</v>
      </c>
      <c r="X327">
        <v>163</v>
      </c>
      <c r="Y327">
        <v>157.4</v>
      </c>
      <c r="Z327">
        <v>167.2</v>
      </c>
      <c r="AA327">
        <v>153.1</v>
      </c>
      <c r="AB327">
        <v>159.5</v>
      </c>
      <c r="AC327">
        <v>162</v>
      </c>
      <c r="AD327">
        <v>164.2</v>
      </c>
      <c r="AE327">
        <v>159.4</v>
      </c>
      <c r="AF327">
        <v>165.5</v>
      </c>
    </row>
    <row r="328" spans="1:32">
      <c r="A328" t="s">
        <v>35</v>
      </c>
      <c r="B328">
        <v>2022</v>
      </c>
      <c r="C328" t="s">
        <v>36</v>
      </c>
      <c r="D328">
        <v>2</v>
      </c>
      <c r="E328" s="1">
        <v>44593</v>
      </c>
      <c r="F328">
        <v>150</v>
      </c>
      <c r="G328">
        <v>200.6</v>
      </c>
      <c r="H328">
        <v>175.8</v>
      </c>
      <c r="I328">
        <v>160.69999999999999</v>
      </c>
      <c r="J328">
        <v>184.9</v>
      </c>
      <c r="K328">
        <v>153.69999999999999</v>
      </c>
      <c r="L328">
        <v>169.7</v>
      </c>
      <c r="M328">
        <v>163.69999999999999</v>
      </c>
      <c r="N328">
        <v>118.9</v>
      </c>
      <c r="O328">
        <v>174.3</v>
      </c>
      <c r="P328">
        <v>164.7</v>
      </c>
      <c r="Q328">
        <v>178</v>
      </c>
      <c r="R328">
        <v>166.2</v>
      </c>
      <c r="S328">
        <v>192.8</v>
      </c>
      <c r="T328">
        <v>170.8</v>
      </c>
      <c r="U328">
        <v>162.4</v>
      </c>
      <c r="V328">
        <v>169.6</v>
      </c>
      <c r="W328">
        <v>165.5</v>
      </c>
      <c r="X328">
        <v>165.7</v>
      </c>
      <c r="Y328">
        <v>161.80000000000001</v>
      </c>
      <c r="Z328">
        <v>172.2</v>
      </c>
      <c r="AA328">
        <v>156.9</v>
      </c>
      <c r="AB328">
        <v>162.1</v>
      </c>
      <c r="AC328">
        <v>165.4</v>
      </c>
      <c r="AD328">
        <v>164.4</v>
      </c>
      <c r="AE328">
        <v>163.5</v>
      </c>
      <c r="AF328">
        <v>166.1</v>
      </c>
    </row>
    <row r="329" spans="1:32">
      <c r="A329" t="s">
        <v>30</v>
      </c>
      <c r="B329">
        <v>2022</v>
      </c>
      <c r="C329" t="s">
        <v>38</v>
      </c>
      <c r="D329">
        <v>3</v>
      </c>
      <c r="E329" s="1">
        <v>44621</v>
      </c>
      <c r="F329">
        <v>150.19999999999999</v>
      </c>
      <c r="G329">
        <v>208</v>
      </c>
      <c r="H329">
        <v>167.9</v>
      </c>
      <c r="I329">
        <v>162</v>
      </c>
      <c r="J329">
        <v>203.1</v>
      </c>
      <c r="K329">
        <v>155.9</v>
      </c>
      <c r="L329">
        <v>155.80000000000001</v>
      </c>
      <c r="M329">
        <v>164.2</v>
      </c>
      <c r="N329">
        <v>118.1</v>
      </c>
      <c r="O329">
        <v>178.7</v>
      </c>
      <c r="P329">
        <v>171.2</v>
      </c>
      <c r="Q329">
        <v>177.4</v>
      </c>
      <c r="R329">
        <v>166.6</v>
      </c>
      <c r="S329">
        <v>192.3</v>
      </c>
      <c r="T329">
        <v>175.4</v>
      </c>
      <c r="U329">
        <v>173.2</v>
      </c>
      <c r="V329">
        <v>175.1</v>
      </c>
      <c r="X329">
        <v>168.9</v>
      </c>
      <c r="Y329">
        <v>166.5</v>
      </c>
      <c r="Z329">
        <v>176</v>
      </c>
      <c r="AA329">
        <v>162</v>
      </c>
      <c r="AB329">
        <v>166.6</v>
      </c>
      <c r="AC329">
        <v>170.6</v>
      </c>
      <c r="AD329">
        <v>167.4</v>
      </c>
      <c r="AE329">
        <v>168.3</v>
      </c>
      <c r="AF329">
        <v>168.7</v>
      </c>
    </row>
    <row r="330" spans="1:32">
      <c r="A330" t="s">
        <v>33</v>
      </c>
      <c r="B330">
        <v>2022</v>
      </c>
      <c r="C330" t="s">
        <v>38</v>
      </c>
      <c r="D330">
        <v>3</v>
      </c>
      <c r="E330" s="1">
        <v>44621</v>
      </c>
      <c r="F330">
        <v>153.69999999999999</v>
      </c>
      <c r="G330">
        <v>215.8</v>
      </c>
      <c r="H330">
        <v>167.7</v>
      </c>
      <c r="I330">
        <v>162.6</v>
      </c>
      <c r="J330">
        <v>180</v>
      </c>
      <c r="K330">
        <v>159.6</v>
      </c>
      <c r="L330">
        <v>188.4</v>
      </c>
      <c r="M330">
        <v>163.4</v>
      </c>
      <c r="N330">
        <v>120.3</v>
      </c>
      <c r="O330">
        <v>174.7</v>
      </c>
      <c r="P330">
        <v>157.1</v>
      </c>
      <c r="Q330">
        <v>181.5</v>
      </c>
      <c r="R330">
        <v>171.5</v>
      </c>
      <c r="S330">
        <v>197.5</v>
      </c>
      <c r="T330">
        <v>167.1</v>
      </c>
      <c r="U330">
        <v>152.6</v>
      </c>
      <c r="V330">
        <v>164.9</v>
      </c>
      <c r="W330">
        <v>165.3</v>
      </c>
      <c r="X330">
        <v>164.5</v>
      </c>
      <c r="Y330">
        <v>158.6</v>
      </c>
      <c r="Z330">
        <v>168.2</v>
      </c>
      <c r="AA330">
        <v>154.19999999999999</v>
      </c>
      <c r="AB330">
        <v>160.80000000000001</v>
      </c>
      <c r="AC330">
        <v>162.69999999999999</v>
      </c>
      <c r="AD330">
        <v>166.8</v>
      </c>
      <c r="AE330">
        <v>160.6</v>
      </c>
      <c r="AF330">
        <v>166.5</v>
      </c>
    </row>
    <row r="331" spans="1:32">
      <c r="A331" t="s">
        <v>35</v>
      </c>
      <c r="B331">
        <v>2022</v>
      </c>
      <c r="C331" t="s">
        <v>38</v>
      </c>
      <c r="D331">
        <v>3</v>
      </c>
      <c r="E331" s="1">
        <v>44621</v>
      </c>
      <c r="F331">
        <v>151.30000000000001</v>
      </c>
      <c r="G331">
        <v>210.7</v>
      </c>
      <c r="H331">
        <v>167.8</v>
      </c>
      <c r="I331">
        <v>162.19999999999999</v>
      </c>
      <c r="J331">
        <v>194.6</v>
      </c>
      <c r="K331">
        <v>157.6</v>
      </c>
      <c r="L331">
        <v>166.9</v>
      </c>
      <c r="M331">
        <v>163.9</v>
      </c>
      <c r="N331">
        <v>118.8</v>
      </c>
      <c r="O331">
        <v>177.4</v>
      </c>
      <c r="P331">
        <v>165.3</v>
      </c>
      <c r="Q331">
        <v>179.3</v>
      </c>
      <c r="R331">
        <v>168.4</v>
      </c>
      <c r="S331">
        <v>193.7</v>
      </c>
      <c r="T331">
        <v>172.1</v>
      </c>
      <c r="U331">
        <v>164.6</v>
      </c>
      <c r="V331">
        <v>171.1</v>
      </c>
      <c r="W331">
        <v>165.3</v>
      </c>
      <c r="X331">
        <v>167.2</v>
      </c>
      <c r="Y331">
        <v>162.80000000000001</v>
      </c>
      <c r="Z331">
        <v>173</v>
      </c>
      <c r="AA331">
        <v>157.9</v>
      </c>
      <c r="AB331">
        <v>163.30000000000001</v>
      </c>
      <c r="AC331">
        <v>166</v>
      </c>
      <c r="AD331">
        <v>167.2</v>
      </c>
      <c r="AE331">
        <v>164.6</v>
      </c>
      <c r="AF331">
        <v>167.7</v>
      </c>
    </row>
    <row r="332" spans="1:32">
      <c r="A332" t="s">
        <v>30</v>
      </c>
      <c r="B332">
        <v>2022</v>
      </c>
      <c r="C332" t="s">
        <v>39</v>
      </c>
      <c r="D332">
        <v>4</v>
      </c>
      <c r="E332" s="1">
        <v>44652</v>
      </c>
      <c r="F332">
        <v>151.80000000000001</v>
      </c>
      <c r="G332">
        <v>209.7</v>
      </c>
      <c r="H332">
        <v>164.5</v>
      </c>
      <c r="I332">
        <v>163.80000000000001</v>
      </c>
      <c r="J332">
        <v>207.4</v>
      </c>
      <c r="K332">
        <v>169.7</v>
      </c>
      <c r="L332">
        <v>153.6</v>
      </c>
      <c r="M332">
        <v>165.1</v>
      </c>
      <c r="N332">
        <v>118.2</v>
      </c>
      <c r="O332">
        <v>182.9</v>
      </c>
      <c r="P332">
        <v>172.4</v>
      </c>
      <c r="Q332">
        <v>178.9</v>
      </c>
      <c r="R332">
        <v>168.6</v>
      </c>
      <c r="S332">
        <v>192.8</v>
      </c>
      <c r="T332">
        <v>177.5</v>
      </c>
      <c r="U332">
        <v>175.1</v>
      </c>
      <c r="V332">
        <v>177.1</v>
      </c>
      <c r="X332">
        <v>173.3</v>
      </c>
      <c r="Y332">
        <v>167.7</v>
      </c>
      <c r="Z332">
        <v>177</v>
      </c>
      <c r="AA332">
        <v>166.2</v>
      </c>
      <c r="AB332">
        <v>167.2</v>
      </c>
      <c r="AC332">
        <v>170.9</v>
      </c>
      <c r="AD332">
        <v>169</v>
      </c>
      <c r="AE332">
        <v>170.2</v>
      </c>
      <c r="AF332">
        <v>170.8</v>
      </c>
    </row>
    <row r="333" spans="1:32">
      <c r="A333" t="s">
        <v>33</v>
      </c>
      <c r="B333">
        <v>2022</v>
      </c>
      <c r="C333" t="s">
        <v>39</v>
      </c>
      <c r="D333">
        <v>4</v>
      </c>
      <c r="E333" s="1">
        <v>44652</v>
      </c>
      <c r="F333">
        <v>155.4</v>
      </c>
      <c r="G333">
        <v>215.8</v>
      </c>
      <c r="H333">
        <v>164.6</v>
      </c>
      <c r="I333">
        <v>164.2</v>
      </c>
      <c r="J333">
        <v>186</v>
      </c>
      <c r="K333">
        <v>175.9</v>
      </c>
      <c r="L333">
        <v>190.7</v>
      </c>
      <c r="M333">
        <v>164</v>
      </c>
      <c r="N333">
        <v>120.5</v>
      </c>
      <c r="O333">
        <v>178</v>
      </c>
      <c r="P333">
        <v>157.5</v>
      </c>
      <c r="Q333">
        <v>183.3</v>
      </c>
      <c r="R333">
        <v>174.5</v>
      </c>
      <c r="S333">
        <v>197.1</v>
      </c>
      <c r="T333">
        <v>168.4</v>
      </c>
      <c r="U333">
        <v>154.5</v>
      </c>
      <c r="V333">
        <v>166.3</v>
      </c>
      <c r="W333">
        <v>167</v>
      </c>
      <c r="X333">
        <v>170.5</v>
      </c>
      <c r="Y333">
        <v>159.80000000000001</v>
      </c>
      <c r="Z333">
        <v>169</v>
      </c>
      <c r="AA333">
        <v>159.30000000000001</v>
      </c>
      <c r="AB333">
        <v>162.19999999999999</v>
      </c>
      <c r="AC333">
        <v>164</v>
      </c>
      <c r="AD333">
        <v>168.4</v>
      </c>
      <c r="AE333">
        <v>163.1</v>
      </c>
      <c r="AF333">
        <v>169.2</v>
      </c>
    </row>
    <row r="334" spans="1:32">
      <c r="A334" t="s">
        <v>35</v>
      </c>
      <c r="B334">
        <v>2022</v>
      </c>
      <c r="C334" t="s">
        <v>39</v>
      </c>
      <c r="D334">
        <v>4</v>
      </c>
      <c r="E334" s="1">
        <v>44652</v>
      </c>
      <c r="F334">
        <v>152.9</v>
      </c>
      <c r="G334">
        <v>211.8</v>
      </c>
      <c r="H334">
        <v>164.5</v>
      </c>
      <c r="I334">
        <v>163.9</v>
      </c>
      <c r="J334">
        <v>199.5</v>
      </c>
      <c r="K334">
        <v>172.6</v>
      </c>
      <c r="L334">
        <v>166.2</v>
      </c>
      <c r="M334">
        <v>164.7</v>
      </c>
      <c r="N334">
        <v>119</v>
      </c>
      <c r="O334">
        <v>181.3</v>
      </c>
      <c r="P334">
        <v>166.2</v>
      </c>
      <c r="Q334">
        <v>180.9</v>
      </c>
      <c r="R334">
        <v>170.8</v>
      </c>
      <c r="S334">
        <v>193.9</v>
      </c>
      <c r="T334">
        <v>173.9</v>
      </c>
      <c r="U334">
        <v>166.5</v>
      </c>
      <c r="V334">
        <v>172.8</v>
      </c>
      <c r="W334">
        <v>167</v>
      </c>
      <c r="X334">
        <v>172.2</v>
      </c>
      <c r="Y334">
        <v>164</v>
      </c>
      <c r="Z334">
        <v>174</v>
      </c>
      <c r="AA334">
        <v>162.6</v>
      </c>
      <c r="AB334">
        <v>164.4</v>
      </c>
      <c r="AC334">
        <v>166.9</v>
      </c>
      <c r="AD334">
        <v>168.8</v>
      </c>
      <c r="AE334">
        <v>166.8</v>
      </c>
      <c r="AF334">
        <v>170.1</v>
      </c>
    </row>
    <row r="335" spans="1:32">
      <c r="A335" t="s">
        <v>30</v>
      </c>
      <c r="B335">
        <v>2022</v>
      </c>
      <c r="C335" t="s">
        <v>41</v>
      </c>
      <c r="D335">
        <v>5</v>
      </c>
      <c r="E335" s="1">
        <v>44682</v>
      </c>
      <c r="F335">
        <v>152.9</v>
      </c>
      <c r="G335">
        <v>214.7</v>
      </c>
      <c r="H335">
        <v>161.4</v>
      </c>
      <c r="I335">
        <v>164.6</v>
      </c>
      <c r="J335">
        <v>209.9</v>
      </c>
      <c r="K335">
        <v>168</v>
      </c>
      <c r="L335">
        <v>160.4</v>
      </c>
      <c r="M335">
        <v>165</v>
      </c>
      <c r="N335">
        <v>118.9</v>
      </c>
      <c r="O335">
        <v>186.6</v>
      </c>
      <c r="P335">
        <v>173.2</v>
      </c>
      <c r="Q335">
        <v>180.4</v>
      </c>
      <c r="R335">
        <v>170.8</v>
      </c>
      <c r="S335">
        <v>192.9</v>
      </c>
      <c r="T335">
        <v>179.3</v>
      </c>
      <c r="U335">
        <v>177.2</v>
      </c>
      <c r="V335">
        <v>179</v>
      </c>
      <c r="X335">
        <v>175.3</v>
      </c>
      <c r="Y335">
        <v>168.9</v>
      </c>
      <c r="Z335">
        <v>177.7</v>
      </c>
      <c r="AA335">
        <v>167.1</v>
      </c>
      <c r="AB335">
        <v>167.6</v>
      </c>
      <c r="AC335">
        <v>171.8</v>
      </c>
      <c r="AD335">
        <v>168.5</v>
      </c>
      <c r="AE335">
        <v>170.9</v>
      </c>
      <c r="AF335">
        <v>172.5</v>
      </c>
    </row>
    <row r="336" spans="1:32">
      <c r="A336" t="s">
        <v>33</v>
      </c>
      <c r="B336">
        <v>2022</v>
      </c>
      <c r="C336" t="s">
        <v>41</v>
      </c>
      <c r="D336">
        <v>5</v>
      </c>
      <c r="E336" s="1">
        <v>44682</v>
      </c>
      <c r="F336">
        <v>156.69999999999999</v>
      </c>
      <c r="G336">
        <v>221.2</v>
      </c>
      <c r="H336">
        <v>164.1</v>
      </c>
      <c r="I336">
        <v>165.4</v>
      </c>
      <c r="J336">
        <v>189.5</v>
      </c>
      <c r="K336">
        <v>174.5</v>
      </c>
      <c r="L336">
        <v>203.2</v>
      </c>
      <c r="M336">
        <v>164.1</v>
      </c>
      <c r="N336">
        <v>121.2</v>
      </c>
      <c r="O336">
        <v>181.4</v>
      </c>
      <c r="P336">
        <v>158.5</v>
      </c>
      <c r="Q336">
        <v>184.9</v>
      </c>
      <c r="R336">
        <v>177.5</v>
      </c>
      <c r="S336">
        <v>197.5</v>
      </c>
      <c r="T336">
        <v>170</v>
      </c>
      <c r="U336">
        <v>155.9</v>
      </c>
      <c r="V336">
        <v>167.8</v>
      </c>
      <c r="W336">
        <v>167.5</v>
      </c>
      <c r="X336">
        <v>173.5</v>
      </c>
      <c r="Y336">
        <v>161.1</v>
      </c>
      <c r="Z336">
        <v>170.1</v>
      </c>
      <c r="AA336">
        <v>159.4</v>
      </c>
      <c r="AB336">
        <v>163.19999999999999</v>
      </c>
      <c r="AC336">
        <v>165.2</v>
      </c>
      <c r="AD336">
        <v>168.2</v>
      </c>
      <c r="AE336">
        <v>163.80000000000001</v>
      </c>
      <c r="AF336">
        <v>170.8</v>
      </c>
    </row>
    <row r="337" spans="1:32">
      <c r="A337" t="s">
        <v>35</v>
      </c>
      <c r="B337">
        <v>2022</v>
      </c>
      <c r="C337" t="s">
        <v>41</v>
      </c>
      <c r="D337">
        <v>5</v>
      </c>
      <c r="E337" s="1">
        <v>44682</v>
      </c>
      <c r="F337">
        <v>154.1</v>
      </c>
      <c r="G337">
        <v>217</v>
      </c>
      <c r="H337">
        <v>162.4</v>
      </c>
      <c r="I337">
        <v>164.9</v>
      </c>
      <c r="J337">
        <v>202.4</v>
      </c>
      <c r="K337">
        <v>171</v>
      </c>
      <c r="L337">
        <v>174.9</v>
      </c>
      <c r="M337">
        <v>164.7</v>
      </c>
      <c r="N337">
        <v>119.7</v>
      </c>
      <c r="O337">
        <v>184.9</v>
      </c>
      <c r="P337">
        <v>167.1</v>
      </c>
      <c r="Q337">
        <v>182.5</v>
      </c>
      <c r="R337">
        <v>173.3</v>
      </c>
      <c r="S337">
        <v>194.1</v>
      </c>
      <c r="T337">
        <v>175.6</v>
      </c>
      <c r="U337">
        <v>168.4</v>
      </c>
      <c r="V337">
        <v>174.6</v>
      </c>
      <c r="W337">
        <v>167.5</v>
      </c>
      <c r="X337">
        <v>174.6</v>
      </c>
      <c r="Y337">
        <v>165.2</v>
      </c>
      <c r="Z337">
        <v>174.8</v>
      </c>
      <c r="AA337">
        <v>163</v>
      </c>
      <c r="AB337">
        <v>165.1</v>
      </c>
      <c r="AC337">
        <v>167.9</v>
      </c>
      <c r="AD337">
        <v>168.4</v>
      </c>
      <c r="AE337">
        <v>167.5</v>
      </c>
      <c r="AF337">
        <v>171.7</v>
      </c>
    </row>
    <row r="338" spans="1:32">
      <c r="A338" t="s">
        <v>30</v>
      </c>
      <c r="B338">
        <v>2022</v>
      </c>
      <c r="C338" t="s">
        <v>42</v>
      </c>
      <c r="D338">
        <v>6</v>
      </c>
      <c r="E338" s="1">
        <v>44713</v>
      </c>
      <c r="F338">
        <v>153.80000000000001</v>
      </c>
      <c r="G338">
        <v>217.2</v>
      </c>
      <c r="H338">
        <v>169.6</v>
      </c>
      <c r="I338">
        <v>165.4</v>
      </c>
      <c r="J338">
        <v>208.1</v>
      </c>
      <c r="K338">
        <v>165.8</v>
      </c>
      <c r="L338">
        <v>167.3</v>
      </c>
      <c r="M338">
        <v>164.6</v>
      </c>
      <c r="N338">
        <v>119.1</v>
      </c>
      <c r="O338">
        <v>188.9</v>
      </c>
      <c r="P338">
        <v>174.2</v>
      </c>
      <c r="Q338">
        <v>181.9</v>
      </c>
      <c r="R338">
        <v>172.4</v>
      </c>
      <c r="S338">
        <v>192.9</v>
      </c>
      <c r="T338">
        <v>180.7</v>
      </c>
      <c r="U338">
        <v>178.7</v>
      </c>
      <c r="V338">
        <v>180.4</v>
      </c>
      <c r="X338">
        <v>176.7</v>
      </c>
      <c r="Y338">
        <v>170.3</v>
      </c>
      <c r="Z338">
        <v>178.2</v>
      </c>
      <c r="AA338">
        <v>165.5</v>
      </c>
      <c r="AB338">
        <v>168</v>
      </c>
      <c r="AC338">
        <v>172.6</v>
      </c>
      <c r="AD338">
        <v>169.5</v>
      </c>
      <c r="AE338">
        <v>171</v>
      </c>
      <c r="AF338">
        <v>173.6</v>
      </c>
    </row>
    <row r="339" spans="1:32">
      <c r="A339" t="s">
        <v>33</v>
      </c>
      <c r="B339">
        <v>2022</v>
      </c>
      <c r="C339" t="s">
        <v>42</v>
      </c>
      <c r="D339">
        <v>6</v>
      </c>
      <c r="E339" s="1">
        <v>44713</v>
      </c>
      <c r="F339">
        <v>157.5</v>
      </c>
      <c r="G339">
        <v>223.4</v>
      </c>
      <c r="H339">
        <v>172.8</v>
      </c>
      <c r="I339">
        <v>166.4</v>
      </c>
      <c r="J339">
        <v>188.6</v>
      </c>
      <c r="K339">
        <v>174.1</v>
      </c>
      <c r="L339">
        <v>211.5</v>
      </c>
      <c r="M339">
        <v>163.6</v>
      </c>
      <c r="N339">
        <v>121.4</v>
      </c>
      <c r="O339">
        <v>183.5</v>
      </c>
      <c r="P339">
        <v>159.1</v>
      </c>
      <c r="Q339">
        <v>186.3</v>
      </c>
      <c r="R339">
        <v>179.3</v>
      </c>
      <c r="S339">
        <v>198.3</v>
      </c>
      <c r="T339">
        <v>171.6</v>
      </c>
      <c r="U339">
        <v>157.4</v>
      </c>
      <c r="V339">
        <v>169.4</v>
      </c>
      <c r="W339">
        <v>166.8</v>
      </c>
      <c r="X339">
        <v>174.9</v>
      </c>
      <c r="Y339">
        <v>162.1</v>
      </c>
      <c r="Z339">
        <v>170.9</v>
      </c>
      <c r="AA339">
        <v>157.19999999999999</v>
      </c>
      <c r="AB339">
        <v>164.1</v>
      </c>
      <c r="AC339">
        <v>166.5</v>
      </c>
      <c r="AD339">
        <v>169.2</v>
      </c>
      <c r="AE339">
        <v>163.80000000000001</v>
      </c>
      <c r="AF339">
        <v>171.4</v>
      </c>
    </row>
    <row r="340" spans="1:32">
      <c r="A340" t="s">
        <v>35</v>
      </c>
      <c r="B340">
        <v>2022</v>
      </c>
      <c r="C340" t="s">
        <v>42</v>
      </c>
      <c r="D340">
        <v>6</v>
      </c>
      <c r="E340" s="1">
        <v>44713</v>
      </c>
      <c r="F340">
        <v>155</v>
      </c>
      <c r="G340">
        <v>219.4</v>
      </c>
      <c r="H340">
        <v>170.8</v>
      </c>
      <c r="I340">
        <v>165.8</v>
      </c>
      <c r="J340">
        <v>200.9</v>
      </c>
      <c r="K340">
        <v>169.7</v>
      </c>
      <c r="L340">
        <v>182.3</v>
      </c>
      <c r="M340">
        <v>164.3</v>
      </c>
      <c r="N340">
        <v>119.9</v>
      </c>
      <c r="O340">
        <v>187.1</v>
      </c>
      <c r="P340">
        <v>167.9</v>
      </c>
      <c r="Q340">
        <v>183.9</v>
      </c>
      <c r="R340">
        <v>174.9</v>
      </c>
      <c r="S340">
        <v>194.3</v>
      </c>
      <c r="T340">
        <v>177.1</v>
      </c>
      <c r="U340">
        <v>169.9</v>
      </c>
      <c r="V340">
        <v>176</v>
      </c>
      <c r="W340">
        <v>166.8</v>
      </c>
      <c r="X340">
        <v>176</v>
      </c>
      <c r="Y340">
        <v>166.4</v>
      </c>
      <c r="Z340">
        <v>175.4</v>
      </c>
      <c r="AA340">
        <v>161.1</v>
      </c>
      <c r="AB340">
        <v>165.8</v>
      </c>
      <c r="AC340">
        <v>169</v>
      </c>
      <c r="AD340">
        <v>169.4</v>
      </c>
      <c r="AE340">
        <v>167.5</v>
      </c>
      <c r="AF340">
        <v>172.6</v>
      </c>
    </row>
    <row r="341" spans="1:32">
      <c r="A341" t="s">
        <v>30</v>
      </c>
      <c r="B341">
        <v>2022</v>
      </c>
      <c r="C341" t="s">
        <v>44</v>
      </c>
      <c r="D341">
        <v>7</v>
      </c>
      <c r="E341" s="1">
        <v>44743</v>
      </c>
      <c r="F341">
        <v>155.19999999999999</v>
      </c>
      <c r="G341">
        <v>210.8</v>
      </c>
      <c r="H341">
        <v>174.3</v>
      </c>
      <c r="I341">
        <v>166.3</v>
      </c>
      <c r="J341">
        <v>202.2</v>
      </c>
      <c r="K341">
        <v>169.6</v>
      </c>
      <c r="L341">
        <v>168.6</v>
      </c>
      <c r="M341">
        <v>164.4</v>
      </c>
      <c r="N341">
        <v>119.2</v>
      </c>
      <c r="O341">
        <v>191.8</v>
      </c>
      <c r="P341">
        <v>174.5</v>
      </c>
      <c r="Q341">
        <v>183.1</v>
      </c>
      <c r="R341">
        <v>172.5</v>
      </c>
      <c r="S341">
        <v>193.2</v>
      </c>
      <c r="T341">
        <v>182</v>
      </c>
      <c r="U341">
        <v>180.3</v>
      </c>
      <c r="V341">
        <v>181.7</v>
      </c>
      <c r="X341">
        <v>179.6</v>
      </c>
      <c r="Y341">
        <v>171.3</v>
      </c>
      <c r="Z341">
        <v>178.8</v>
      </c>
      <c r="AA341">
        <v>166.3</v>
      </c>
      <c r="AB341">
        <v>168.6</v>
      </c>
      <c r="AC341">
        <v>174.7</v>
      </c>
      <c r="AD341">
        <v>169.7</v>
      </c>
      <c r="AE341">
        <v>171.8</v>
      </c>
      <c r="AF341">
        <v>174.3</v>
      </c>
    </row>
    <row r="342" spans="1:32">
      <c r="A342" t="s">
        <v>33</v>
      </c>
      <c r="B342">
        <v>2022</v>
      </c>
      <c r="C342" t="s">
        <v>44</v>
      </c>
      <c r="D342">
        <v>7</v>
      </c>
      <c r="E342" s="1">
        <v>44743</v>
      </c>
      <c r="F342">
        <v>159.30000000000001</v>
      </c>
      <c r="G342">
        <v>217.1</v>
      </c>
      <c r="H342">
        <v>176.6</v>
      </c>
      <c r="I342">
        <v>167.1</v>
      </c>
      <c r="J342">
        <v>184.8</v>
      </c>
      <c r="K342">
        <v>179.5</v>
      </c>
      <c r="L342">
        <v>208.5</v>
      </c>
      <c r="M342">
        <v>164</v>
      </c>
      <c r="N342">
        <v>121.5</v>
      </c>
      <c r="O342">
        <v>186.3</v>
      </c>
      <c r="P342">
        <v>159.80000000000001</v>
      </c>
      <c r="Q342">
        <v>187.7</v>
      </c>
      <c r="R342">
        <v>179.4</v>
      </c>
      <c r="S342">
        <v>198.6</v>
      </c>
      <c r="T342">
        <v>172.7</v>
      </c>
      <c r="U342">
        <v>158.69999999999999</v>
      </c>
      <c r="V342">
        <v>170.6</v>
      </c>
      <c r="W342">
        <v>167.8</v>
      </c>
      <c r="X342">
        <v>179.5</v>
      </c>
      <c r="Y342">
        <v>163.1</v>
      </c>
      <c r="Z342">
        <v>171.7</v>
      </c>
      <c r="AA342">
        <v>157.4</v>
      </c>
      <c r="AB342">
        <v>164.6</v>
      </c>
      <c r="AC342">
        <v>169.1</v>
      </c>
      <c r="AD342">
        <v>169.8</v>
      </c>
      <c r="AE342">
        <v>164.7</v>
      </c>
      <c r="AF342">
        <v>172.3</v>
      </c>
    </row>
    <row r="343" spans="1:32">
      <c r="A343" t="s">
        <v>35</v>
      </c>
      <c r="B343">
        <v>2022</v>
      </c>
      <c r="C343" t="s">
        <v>44</v>
      </c>
      <c r="D343">
        <v>7</v>
      </c>
      <c r="E343" s="1">
        <v>44743</v>
      </c>
      <c r="F343">
        <v>156.5</v>
      </c>
      <c r="G343">
        <v>213</v>
      </c>
      <c r="H343">
        <v>175.2</v>
      </c>
      <c r="I343">
        <v>166.6</v>
      </c>
      <c r="J343">
        <v>195.8</v>
      </c>
      <c r="K343">
        <v>174.2</v>
      </c>
      <c r="L343">
        <v>182.1</v>
      </c>
      <c r="M343">
        <v>164.3</v>
      </c>
      <c r="N343">
        <v>120</v>
      </c>
      <c r="O343">
        <v>190</v>
      </c>
      <c r="P343">
        <v>168.4</v>
      </c>
      <c r="Q343">
        <v>185.2</v>
      </c>
      <c r="R343">
        <v>175</v>
      </c>
      <c r="S343">
        <v>194.6</v>
      </c>
      <c r="T343">
        <v>178.3</v>
      </c>
      <c r="U343">
        <v>171.3</v>
      </c>
      <c r="V343">
        <v>177.3</v>
      </c>
      <c r="W343">
        <v>167.8</v>
      </c>
      <c r="X343">
        <v>179.6</v>
      </c>
      <c r="Y343">
        <v>167.4</v>
      </c>
      <c r="Z343">
        <v>176.1</v>
      </c>
      <c r="AA343">
        <v>161.6</v>
      </c>
      <c r="AB343">
        <v>166.3</v>
      </c>
      <c r="AC343">
        <v>171.4</v>
      </c>
      <c r="AD343">
        <v>169.7</v>
      </c>
      <c r="AE343">
        <v>168.4</v>
      </c>
      <c r="AF343">
        <v>173.4</v>
      </c>
    </row>
    <row r="344" spans="1:32">
      <c r="A344" t="s">
        <v>30</v>
      </c>
      <c r="B344">
        <v>2022</v>
      </c>
      <c r="C344" t="s">
        <v>46</v>
      </c>
      <c r="D344">
        <v>8</v>
      </c>
      <c r="E344" s="1">
        <v>44774</v>
      </c>
      <c r="F344">
        <v>159.5</v>
      </c>
      <c r="G344">
        <v>204.1</v>
      </c>
      <c r="H344">
        <v>168.3</v>
      </c>
      <c r="I344">
        <v>167.9</v>
      </c>
      <c r="J344">
        <v>198.1</v>
      </c>
      <c r="K344">
        <v>169.2</v>
      </c>
      <c r="L344">
        <v>173.1</v>
      </c>
      <c r="M344">
        <v>167.1</v>
      </c>
      <c r="N344">
        <v>120.2</v>
      </c>
      <c r="O344">
        <v>195.6</v>
      </c>
      <c r="P344">
        <v>174.8</v>
      </c>
      <c r="Q344">
        <v>184</v>
      </c>
      <c r="R344">
        <v>173.9</v>
      </c>
      <c r="S344">
        <v>193.7</v>
      </c>
      <c r="T344">
        <v>183.2</v>
      </c>
      <c r="U344">
        <v>181.7</v>
      </c>
      <c r="V344">
        <v>183</v>
      </c>
      <c r="X344">
        <v>179.1</v>
      </c>
      <c r="Y344">
        <v>172.3</v>
      </c>
      <c r="Z344">
        <v>179.4</v>
      </c>
      <c r="AA344">
        <v>166.6</v>
      </c>
      <c r="AB344">
        <v>169.3</v>
      </c>
      <c r="AC344">
        <v>175.7</v>
      </c>
      <c r="AD344">
        <v>171.1</v>
      </c>
      <c r="AE344">
        <v>172.6</v>
      </c>
      <c r="AF344">
        <v>175.3</v>
      </c>
    </row>
    <row r="345" spans="1:32">
      <c r="A345" t="s">
        <v>33</v>
      </c>
      <c r="B345">
        <v>2022</v>
      </c>
      <c r="C345" t="s">
        <v>46</v>
      </c>
      <c r="D345">
        <v>8</v>
      </c>
      <c r="E345" s="1">
        <v>44774</v>
      </c>
      <c r="F345">
        <v>162.1</v>
      </c>
      <c r="G345">
        <v>210.9</v>
      </c>
      <c r="H345">
        <v>170.6</v>
      </c>
      <c r="I345">
        <v>168.4</v>
      </c>
      <c r="J345">
        <v>182.5</v>
      </c>
      <c r="K345">
        <v>177.1</v>
      </c>
      <c r="L345">
        <v>213.1</v>
      </c>
      <c r="M345">
        <v>167.3</v>
      </c>
      <c r="N345">
        <v>122.2</v>
      </c>
      <c r="O345">
        <v>189.7</v>
      </c>
      <c r="P345">
        <v>160.5</v>
      </c>
      <c r="Q345">
        <v>188.9</v>
      </c>
      <c r="R345">
        <v>180.4</v>
      </c>
      <c r="S345">
        <v>198.7</v>
      </c>
      <c r="T345">
        <v>173.7</v>
      </c>
      <c r="U345">
        <v>160</v>
      </c>
      <c r="V345">
        <v>171.6</v>
      </c>
      <c r="W345">
        <v>169</v>
      </c>
      <c r="X345">
        <v>178.4</v>
      </c>
      <c r="Y345">
        <v>164.2</v>
      </c>
      <c r="Z345">
        <v>172.6</v>
      </c>
      <c r="AA345">
        <v>157.69999999999999</v>
      </c>
      <c r="AB345">
        <v>165.1</v>
      </c>
      <c r="AC345">
        <v>169.9</v>
      </c>
      <c r="AD345">
        <v>171.4</v>
      </c>
      <c r="AE345">
        <v>165.4</v>
      </c>
      <c r="AF345">
        <v>173.1</v>
      </c>
    </row>
    <row r="346" spans="1:32">
      <c r="A346" t="s">
        <v>35</v>
      </c>
      <c r="B346">
        <v>2022</v>
      </c>
      <c r="C346" t="s">
        <v>46</v>
      </c>
      <c r="D346">
        <v>8</v>
      </c>
      <c r="E346" s="1">
        <v>44774</v>
      </c>
      <c r="F346">
        <v>160.30000000000001</v>
      </c>
      <c r="G346">
        <v>206.5</v>
      </c>
      <c r="H346">
        <v>169.2</v>
      </c>
      <c r="I346">
        <v>168.1</v>
      </c>
      <c r="J346">
        <v>192.4</v>
      </c>
      <c r="K346">
        <v>172.9</v>
      </c>
      <c r="L346">
        <v>186.7</v>
      </c>
      <c r="M346">
        <v>167.2</v>
      </c>
      <c r="N346">
        <v>120.9</v>
      </c>
      <c r="O346">
        <v>193.6</v>
      </c>
      <c r="P346">
        <v>168.8</v>
      </c>
      <c r="Q346">
        <v>186.3</v>
      </c>
      <c r="R346">
        <v>176.3</v>
      </c>
      <c r="S346">
        <v>195</v>
      </c>
      <c r="T346">
        <v>179.5</v>
      </c>
      <c r="U346">
        <v>172.7</v>
      </c>
      <c r="V346">
        <v>178.5</v>
      </c>
      <c r="W346">
        <v>169</v>
      </c>
      <c r="X346">
        <v>178.8</v>
      </c>
      <c r="Y346">
        <v>168.5</v>
      </c>
      <c r="Z346">
        <v>176.8</v>
      </c>
      <c r="AA346">
        <v>161.9</v>
      </c>
      <c r="AB346">
        <v>166.9</v>
      </c>
      <c r="AC346">
        <v>172.3</v>
      </c>
      <c r="AD346">
        <v>171.2</v>
      </c>
      <c r="AE346">
        <v>169.1</v>
      </c>
      <c r="AF346">
        <v>174.3</v>
      </c>
    </row>
    <row r="347" spans="1:32">
      <c r="A347" t="s">
        <v>30</v>
      </c>
      <c r="B347">
        <v>2022</v>
      </c>
      <c r="C347" t="s">
        <v>48</v>
      </c>
      <c r="D347">
        <v>9</v>
      </c>
      <c r="E347" s="1">
        <v>44805</v>
      </c>
      <c r="F347">
        <v>162.9</v>
      </c>
      <c r="G347">
        <v>206.7</v>
      </c>
      <c r="H347">
        <v>169</v>
      </c>
      <c r="I347">
        <v>169.5</v>
      </c>
      <c r="J347">
        <v>194.1</v>
      </c>
      <c r="K347">
        <v>164.1</v>
      </c>
      <c r="L347">
        <v>176.9</v>
      </c>
      <c r="M347">
        <v>169</v>
      </c>
      <c r="N347">
        <v>120.8</v>
      </c>
      <c r="O347">
        <v>199.1</v>
      </c>
      <c r="P347">
        <v>175.4</v>
      </c>
      <c r="Q347">
        <v>184.8</v>
      </c>
      <c r="R347">
        <v>175.5</v>
      </c>
      <c r="S347">
        <v>194.5</v>
      </c>
      <c r="T347">
        <v>184.7</v>
      </c>
      <c r="U347">
        <v>183.3</v>
      </c>
      <c r="V347">
        <v>184.5</v>
      </c>
      <c r="X347">
        <v>179.7</v>
      </c>
      <c r="Y347">
        <v>173.6</v>
      </c>
      <c r="Z347">
        <v>180.2</v>
      </c>
      <c r="AA347">
        <v>166.9</v>
      </c>
      <c r="AB347">
        <v>170</v>
      </c>
      <c r="AC347">
        <v>176.2</v>
      </c>
      <c r="AD347">
        <v>170.8</v>
      </c>
      <c r="AE347">
        <v>173.1</v>
      </c>
      <c r="AF347">
        <v>176.4</v>
      </c>
    </row>
    <row r="348" spans="1:32">
      <c r="A348" t="s">
        <v>33</v>
      </c>
      <c r="B348">
        <v>2022</v>
      </c>
      <c r="C348" t="s">
        <v>48</v>
      </c>
      <c r="D348">
        <v>9</v>
      </c>
      <c r="E348" s="1">
        <v>44805</v>
      </c>
      <c r="F348">
        <v>164.9</v>
      </c>
      <c r="G348">
        <v>213.7</v>
      </c>
      <c r="H348">
        <v>170.9</v>
      </c>
      <c r="I348">
        <v>170.1</v>
      </c>
      <c r="J348">
        <v>179.3</v>
      </c>
      <c r="K348">
        <v>167.5</v>
      </c>
      <c r="L348">
        <v>220.8</v>
      </c>
      <c r="M348">
        <v>169.2</v>
      </c>
      <c r="N348">
        <v>123.1</v>
      </c>
      <c r="O348">
        <v>193.6</v>
      </c>
      <c r="P348">
        <v>161.1</v>
      </c>
      <c r="Q348">
        <v>190.4</v>
      </c>
      <c r="R348">
        <v>181.8</v>
      </c>
      <c r="S348">
        <v>199.7</v>
      </c>
      <c r="T348">
        <v>175</v>
      </c>
      <c r="U348">
        <v>161.69999999999999</v>
      </c>
      <c r="V348">
        <v>173</v>
      </c>
      <c r="W348">
        <v>169.5</v>
      </c>
      <c r="X348">
        <v>179.2</v>
      </c>
      <c r="Y348">
        <v>165</v>
      </c>
      <c r="Z348">
        <v>173.8</v>
      </c>
      <c r="AA348">
        <v>158.19999999999999</v>
      </c>
      <c r="AB348">
        <v>165.8</v>
      </c>
      <c r="AC348">
        <v>170.9</v>
      </c>
      <c r="AD348">
        <v>171.1</v>
      </c>
      <c r="AE348">
        <v>166.1</v>
      </c>
      <c r="AF348">
        <v>174.1</v>
      </c>
    </row>
    <row r="349" spans="1:32">
      <c r="A349" t="s">
        <v>35</v>
      </c>
      <c r="B349">
        <v>2022</v>
      </c>
      <c r="C349" t="s">
        <v>48</v>
      </c>
      <c r="D349">
        <v>9</v>
      </c>
      <c r="E349" s="1">
        <v>44805</v>
      </c>
      <c r="F349">
        <v>163.5</v>
      </c>
      <c r="G349">
        <v>209.2</v>
      </c>
      <c r="H349">
        <v>169.7</v>
      </c>
      <c r="I349">
        <v>169.7</v>
      </c>
      <c r="J349">
        <v>188.7</v>
      </c>
      <c r="K349">
        <v>165.7</v>
      </c>
      <c r="L349">
        <v>191.8</v>
      </c>
      <c r="M349">
        <v>169.1</v>
      </c>
      <c r="N349">
        <v>121.6</v>
      </c>
      <c r="O349">
        <v>197.3</v>
      </c>
      <c r="P349">
        <v>169.4</v>
      </c>
      <c r="Q349">
        <v>187.4</v>
      </c>
      <c r="R349">
        <v>177.8</v>
      </c>
      <c r="S349">
        <v>195.9</v>
      </c>
      <c r="T349">
        <v>180.9</v>
      </c>
      <c r="U349">
        <v>174.3</v>
      </c>
      <c r="V349">
        <v>179.9</v>
      </c>
      <c r="W349">
        <v>169.5</v>
      </c>
      <c r="X349">
        <v>179.5</v>
      </c>
      <c r="Y349">
        <v>169.5</v>
      </c>
      <c r="Z349">
        <v>177.8</v>
      </c>
      <c r="AA349">
        <v>162.30000000000001</v>
      </c>
      <c r="AB349">
        <v>167.6</v>
      </c>
      <c r="AC349">
        <v>173.1</v>
      </c>
      <c r="AD349">
        <v>170.9</v>
      </c>
      <c r="AE349">
        <v>169.7</v>
      </c>
      <c r="AF349">
        <v>175.3</v>
      </c>
    </row>
    <row r="350" spans="1:32">
      <c r="A350" t="s">
        <v>30</v>
      </c>
      <c r="B350">
        <v>2022</v>
      </c>
      <c r="C350" t="s">
        <v>50</v>
      </c>
      <c r="D350">
        <v>10</v>
      </c>
      <c r="E350" s="1">
        <v>44835</v>
      </c>
      <c r="F350">
        <v>164.7</v>
      </c>
      <c r="G350">
        <v>208.8</v>
      </c>
      <c r="H350">
        <v>170.3</v>
      </c>
      <c r="I350">
        <v>170.9</v>
      </c>
      <c r="J350">
        <v>191.6</v>
      </c>
      <c r="K350">
        <v>162.19999999999999</v>
      </c>
      <c r="L350">
        <v>184.8</v>
      </c>
      <c r="M350">
        <v>169.7</v>
      </c>
      <c r="N350">
        <v>121.1</v>
      </c>
      <c r="O350">
        <v>201.6</v>
      </c>
      <c r="P350">
        <v>175.8</v>
      </c>
      <c r="Q350">
        <v>185.6</v>
      </c>
      <c r="R350">
        <v>177.4</v>
      </c>
      <c r="S350">
        <v>194.9</v>
      </c>
      <c r="T350">
        <v>186.1</v>
      </c>
      <c r="U350">
        <v>184.4</v>
      </c>
      <c r="V350">
        <v>185.9</v>
      </c>
      <c r="X350">
        <v>180.8</v>
      </c>
      <c r="Y350">
        <v>174.4</v>
      </c>
      <c r="Z350">
        <v>181.2</v>
      </c>
      <c r="AA350">
        <v>167.4</v>
      </c>
      <c r="AB350">
        <v>170.6</v>
      </c>
      <c r="AC350">
        <v>176.5</v>
      </c>
      <c r="AD350">
        <v>172</v>
      </c>
      <c r="AE350">
        <v>173.9</v>
      </c>
      <c r="AF350">
        <v>177.9</v>
      </c>
    </row>
    <row r="351" spans="1:32">
      <c r="A351" t="s">
        <v>33</v>
      </c>
      <c r="B351">
        <v>2022</v>
      </c>
      <c r="C351" t="s">
        <v>50</v>
      </c>
      <c r="D351">
        <v>10</v>
      </c>
      <c r="E351" s="1">
        <v>44835</v>
      </c>
      <c r="F351">
        <v>166.4</v>
      </c>
      <c r="G351">
        <v>214.9</v>
      </c>
      <c r="H351">
        <v>171.9</v>
      </c>
      <c r="I351">
        <v>171</v>
      </c>
      <c r="J351">
        <v>177.7</v>
      </c>
      <c r="K351">
        <v>165.7</v>
      </c>
      <c r="L351">
        <v>228.6</v>
      </c>
      <c r="M351">
        <v>169.9</v>
      </c>
      <c r="N351">
        <v>123.4</v>
      </c>
      <c r="O351">
        <v>196.4</v>
      </c>
      <c r="P351">
        <v>161.6</v>
      </c>
      <c r="Q351">
        <v>191.5</v>
      </c>
      <c r="R351">
        <v>183.3</v>
      </c>
      <c r="S351">
        <v>200.1</v>
      </c>
      <c r="T351">
        <v>175.5</v>
      </c>
      <c r="U351">
        <v>162.6</v>
      </c>
      <c r="V351">
        <v>173.6</v>
      </c>
      <c r="W351">
        <v>171.2</v>
      </c>
      <c r="X351">
        <v>180</v>
      </c>
      <c r="Y351">
        <v>166</v>
      </c>
      <c r="Z351">
        <v>174.7</v>
      </c>
      <c r="AA351">
        <v>158.80000000000001</v>
      </c>
      <c r="AB351">
        <v>166.3</v>
      </c>
      <c r="AC351">
        <v>171.2</v>
      </c>
      <c r="AD351">
        <v>172.3</v>
      </c>
      <c r="AE351">
        <v>166.8</v>
      </c>
      <c r="AF351">
        <v>175.3</v>
      </c>
    </row>
    <row r="352" spans="1:32">
      <c r="A352" t="s">
        <v>35</v>
      </c>
      <c r="B352">
        <v>2022</v>
      </c>
      <c r="C352" t="s">
        <v>50</v>
      </c>
      <c r="D352">
        <v>10</v>
      </c>
      <c r="E352" s="1">
        <v>44835</v>
      </c>
      <c r="F352">
        <v>165.2</v>
      </c>
      <c r="G352">
        <v>210.9</v>
      </c>
      <c r="H352">
        <v>170.9</v>
      </c>
      <c r="I352">
        <v>170.9</v>
      </c>
      <c r="J352">
        <v>186.5</v>
      </c>
      <c r="K352">
        <v>163.80000000000001</v>
      </c>
      <c r="L352">
        <v>199.7</v>
      </c>
      <c r="M352">
        <v>169.8</v>
      </c>
      <c r="N352">
        <v>121.9</v>
      </c>
      <c r="O352">
        <v>199.9</v>
      </c>
      <c r="P352">
        <v>169.9</v>
      </c>
      <c r="Q352">
        <v>188.3</v>
      </c>
      <c r="R352">
        <v>179.6</v>
      </c>
      <c r="S352">
        <v>196.3</v>
      </c>
      <c r="T352">
        <v>181.9</v>
      </c>
      <c r="U352">
        <v>175.3</v>
      </c>
      <c r="V352">
        <v>181</v>
      </c>
      <c r="W352">
        <v>171.2</v>
      </c>
      <c r="X352">
        <v>180.5</v>
      </c>
      <c r="Y352">
        <v>170.4</v>
      </c>
      <c r="Z352">
        <v>178.7</v>
      </c>
      <c r="AA352">
        <v>162.9</v>
      </c>
      <c r="AB352">
        <v>168.2</v>
      </c>
      <c r="AC352">
        <v>173.4</v>
      </c>
      <c r="AD352">
        <v>172.1</v>
      </c>
      <c r="AE352">
        <v>170.5</v>
      </c>
      <c r="AF352">
        <v>176.7</v>
      </c>
    </row>
    <row r="353" spans="1:32">
      <c r="A353" t="s">
        <v>30</v>
      </c>
      <c r="B353">
        <v>2022</v>
      </c>
      <c r="C353" t="s">
        <v>53</v>
      </c>
      <c r="D353">
        <v>11</v>
      </c>
      <c r="E353" s="1">
        <v>44866</v>
      </c>
      <c r="F353">
        <v>166.9</v>
      </c>
      <c r="G353">
        <v>207.2</v>
      </c>
      <c r="H353">
        <v>180.2</v>
      </c>
      <c r="I353">
        <v>172.3</v>
      </c>
      <c r="J353">
        <v>194</v>
      </c>
      <c r="K353">
        <v>159.1</v>
      </c>
      <c r="L353">
        <v>171.6</v>
      </c>
      <c r="M353">
        <v>170.2</v>
      </c>
      <c r="N353">
        <v>121.5</v>
      </c>
      <c r="O353">
        <v>204.8</v>
      </c>
      <c r="P353">
        <v>176.4</v>
      </c>
      <c r="Q353">
        <v>186.9</v>
      </c>
      <c r="R353">
        <v>176.6</v>
      </c>
      <c r="S353">
        <v>195.5</v>
      </c>
      <c r="T353">
        <v>187.2</v>
      </c>
      <c r="U353">
        <v>185.2</v>
      </c>
      <c r="V353">
        <v>186.9</v>
      </c>
      <c r="X353">
        <v>181.9</v>
      </c>
      <c r="Y353">
        <v>175.5</v>
      </c>
      <c r="Z353">
        <v>182.3</v>
      </c>
      <c r="AA353">
        <v>167.5</v>
      </c>
      <c r="AB353">
        <v>170.8</v>
      </c>
      <c r="AC353">
        <v>176.9</v>
      </c>
      <c r="AD353">
        <v>173.4</v>
      </c>
      <c r="AE353">
        <v>174.6</v>
      </c>
      <c r="AF353">
        <v>177.8</v>
      </c>
    </row>
    <row r="354" spans="1:32">
      <c r="A354" t="s">
        <v>33</v>
      </c>
      <c r="B354">
        <v>2022</v>
      </c>
      <c r="C354" t="s">
        <v>53</v>
      </c>
      <c r="D354">
        <v>11</v>
      </c>
      <c r="E354" s="1">
        <v>44866</v>
      </c>
      <c r="F354">
        <v>168.4</v>
      </c>
      <c r="G354">
        <v>213.4</v>
      </c>
      <c r="H354">
        <v>183.2</v>
      </c>
      <c r="I354">
        <v>172.3</v>
      </c>
      <c r="J354">
        <v>180</v>
      </c>
      <c r="K354">
        <v>162.6</v>
      </c>
      <c r="L354">
        <v>205.5</v>
      </c>
      <c r="M354">
        <v>171</v>
      </c>
      <c r="N354">
        <v>123.4</v>
      </c>
      <c r="O354">
        <v>198.8</v>
      </c>
      <c r="P354">
        <v>162.1</v>
      </c>
      <c r="Q354">
        <v>192.4</v>
      </c>
      <c r="R354">
        <v>181.3</v>
      </c>
      <c r="S354">
        <v>200.6</v>
      </c>
      <c r="T354">
        <v>176.7</v>
      </c>
      <c r="U354">
        <v>163.5</v>
      </c>
      <c r="V354">
        <v>174.7</v>
      </c>
      <c r="W354">
        <v>171.8</v>
      </c>
      <c r="X354">
        <v>180.3</v>
      </c>
      <c r="Y354">
        <v>166.9</v>
      </c>
      <c r="Z354">
        <v>175.8</v>
      </c>
      <c r="AA354">
        <v>158.9</v>
      </c>
      <c r="AB354">
        <v>166.7</v>
      </c>
      <c r="AC354">
        <v>171.5</v>
      </c>
      <c r="AD354">
        <v>173.8</v>
      </c>
      <c r="AE354">
        <v>167.4</v>
      </c>
      <c r="AF354">
        <v>174.1</v>
      </c>
    </row>
    <row r="355" spans="1:32">
      <c r="A355" t="s">
        <v>35</v>
      </c>
      <c r="B355">
        <v>2022</v>
      </c>
      <c r="C355" t="s">
        <v>53</v>
      </c>
      <c r="D355">
        <v>11</v>
      </c>
      <c r="E355" s="1">
        <v>44866</v>
      </c>
      <c r="F355">
        <v>167.4</v>
      </c>
      <c r="G355">
        <v>209.4</v>
      </c>
      <c r="H355">
        <v>181.4</v>
      </c>
      <c r="I355">
        <v>172.3</v>
      </c>
      <c r="J355">
        <v>188.9</v>
      </c>
      <c r="K355">
        <v>160.69999999999999</v>
      </c>
      <c r="L355">
        <v>183.1</v>
      </c>
      <c r="M355">
        <v>170.5</v>
      </c>
      <c r="N355">
        <v>122.1</v>
      </c>
      <c r="O355">
        <v>202.8</v>
      </c>
      <c r="P355">
        <v>170.4</v>
      </c>
      <c r="Q355">
        <v>189.5</v>
      </c>
      <c r="R355">
        <v>178.3</v>
      </c>
      <c r="S355">
        <v>196.9</v>
      </c>
      <c r="T355">
        <v>183.1</v>
      </c>
      <c r="U355">
        <v>176.2</v>
      </c>
      <c r="V355">
        <v>182.1</v>
      </c>
      <c r="W355">
        <v>171.8</v>
      </c>
      <c r="X355">
        <v>181.3</v>
      </c>
      <c r="Y355">
        <v>171.4</v>
      </c>
      <c r="Z355">
        <v>179.8</v>
      </c>
      <c r="AA355">
        <v>163</v>
      </c>
      <c r="AB355">
        <v>168.5</v>
      </c>
      <c r="AC355">
        <v>173.7</v>
      </c>
      <c r="AD355">
        <v>173.6</v>
      </c>
      <c r="AE355">
        <v>171.1</v>
      </c>
      <c r="AF355">
        <v>176.5</v>
      </c>
    </row>
    <row r="356" spans="1:32">
      <c r="A356" t="s">
        <v>30</v>
      </c>
      <c r="B356">
        <v>2022</v>
      </c>
      <c r="C356" t="s">
        <v>55</v>
      </c>
      <c r="D356">
        <v>12</v>
      </c>
      <c r="E356" s="1">
        <v>44896</v>
      </c>
      <c r="F356">
        <v>168.8</v>
      </c>
      <c r="G356">
        <v>206.9</v>
      </c>
      <c r="H356">
        <v>189.1</v>
      </c>
      <c r="I356">
        <v>173.4</v>
      </c>
      <c r="J356">
        <v>193.9</v>
      </c>
      <c r="K356">
        <v>156.69999999999999</v>
      </c>
      <c r="L356">
        <v>150.19999999999999</v>
      </c>
      <c r="M356">
        <v>170.5</v>
      </c>
      <c r="N356">
        <v>121.2</v>
      </c>
      <c r="O356">
        <v>207.5</v>
      </c>
      <c r="P356">
        <v>176.8</v>
      </c>
      <c r="Q356">
        <v>187.7</v>
      </c>
      <c r="R356">
        <v>174.4</v>
      </c>
      <c r="S356">
        <v>195.9</v>
      </c>
      <c r="T356">
        <v>188.1</v>
      </c>
      <c r="U356">
        <v>185.9</v>
      </c>
      <c r="V356">
        <v>187.8</v>
      </c>
      <c r="X356">
        <v>182.8</v>
      </c>
      <c r="Y356">
        <v>176.4</v>
      </c>
      <c r="Z356">
        <v>183.5</v>
      </c>
      <c r="AA356">
        <v>167.8</v>
      </c>
      <c r="AB356">
        <v>171.2</v>
      </c>
      <c r="AC356">
        <v>177.3</v>
      </c>
      <c r="AD356">
        <v>175.7</v>
      </c>
      <c r="AE356">
        <v>175.5</v>
      </c>
      <c r="AF356">
        <v>177.1</v>
      </c>
    </row>
    <row r="357" spans="1:32">
      <c r="A357" t="s">
        <v>33</v>
      </c>
      <c r="B357">
        <v>2022</v>
      </c>
      <c r="C357" t="s">
        <v>55</v>
      </c>
      <c r="D357">
        <v>12</v>
      </c>
      <c r="E357" s="1">
        <v>44896</v>
      </c>
      <c r="F357">
        <v>170.2</v>
      </c>
      <c r="G357">
        <v>212.9</v>
      </c>
      <c r="H357">
        <v>191.9</v>
      </c>
      <c r="I357">
        <v>173.9</v>
      </c>
      <c r="J357">
        <v>179.1</v>
      </c>
      <c r="K357">
        <v>159.5</v>
      </c>
      <c r="L357">
        <v>178.7</v>
      </c>
      <c r="M357">
        <v>171.3</v>
      </c>
      <c r="N357">
        <v>123.1</v>
      </c>
      <c r="O357">
        <v>200.5</v>
      </c>
      <c r="P357">
        <v>162.80000000000001</v>
      </c>
      <c r="Q357">
        <v>193.3</v>
      </c>
      <c r="R357">
        <v>178.6</v>
      </c>
      <c r="S357">
        <v>201.1</v>
      </c>
      <c r="T357">
        <v>177.7</v>
      </c>
      <c r="U357">
        <v>164.5</v>
      </c>
      <c r="V357">
        <v>175.7</v>
      </c>
      <c r="W357">
        <v>170.7</v>
      </c>
      <c r="X357">
        <v>180.6</v>
      </c>
      <c r="Y357">
        <v>167.3</v>
      </c>
      <c r="Z357">
        <v>177.2</v>
      </c>
      <c r="AA357">
        <v>159.4</v>
      </c>
      <c r="AB357">
        <v>167.1</v>
      </c>
      <c r="AC357">
        <v>171.8</v>
      </c>
      <c r="AD357">
        <v>176</v>
      </c>
      <c r="AE357">
        <v>168.2</v>
      </c>
      <c r="AF357">
        <v>174.1</v>
      </c>
    </row>
    <row r="358" spans="1:32">
      <c r="A358" t="s">
        <v>35</v>
      </c>
      <c r="B358">
        <v>2022</v>
      </c>
      <c r="C358" t="s">
        <v>55</v>
      </c>
      <c r="D358">
        <v>12</v>
      </c>
      <c r="E358" s="1">
        <v>44896</v>
      </c>
      <c r="F358">
        <v>169.2</v>
      </c>
      <c r="G358">
        <v>209</v>
      </c>
      <c r="H358">
        <v>190.2</v>
      </c>
      <c r="I358">
        <v>173.6</v>
      </c>
      <c r="J358">
        <v>188.5</v>
      </c>
      <c r="K358">
        <v>158</v>
      </c>
      <c r="L358">
        <v>159.9</v>
      </c>
      <c r="M358">
        <v>170.8</v>
      </c>
      <c r="N358">
        <v>121.8</v>
      </c>
      <c r="O358">
        <v>205.2</v>
      </c>
      <c r="P358">
        <v>171</v>
      </c>
      <c r="Q358">
        <v>190.3</v>
      </c>
      <c r="R358">
        <v>175.9</v>
      </c>
      <c r="S358">
        <v>197.3</v>
      </c>
      <c r="T358">
        <v>184</v>
      </c>
      <c r="U358">
        <v>177</v>
      </c>
      <c r="V358">
        <v>183</v>
      </c>
      <c r="W358">
        <v>170.7</v>
      </c>
      <c r="X358">
        <v>182</v>
      </c>
      <c r="Y358">
        <v>172.1</v>
      </c>
      <c r="Z358">
        <v>181.1</v>
      </c>
      <c r="AA358">
        <v>163.4</v>
      </c>
      <c r="AB358">
        <v>168.9</v>
      </c>
      <c r="AC358">
        <v>174.1</v>
      </c>
      <c r="AD358">
        <v>175.8</v>
      </c>
      <c r="AE358">
        <v>172</v>
      </c>
      <c r="AF358">
        <v>175.7</v>
      </c>
    </row>
    <row r="359" spans="1:32">
      <c r="A359" t="s">
        <v>30</v>
      </c>
      <c r="B359">
        <v>2023</v>
      </c>
      <c r="C359" t="s">
        <v>31</v>
      </c>
      <c r="D359">
        <v>1</v>
      </c>
      <c r="E359" s="1">
        <v>44927</v>
      </c>
      <c r="F359">
        <v>174</v>
      </c>
      <c r="G359">
        <v>208.3</v>
      </c>
      <c r="H359">
        <v>192.9</v>
      </c>
      <c r="I359">
        <v>174.3</v>
      </c>
      <c r="J359">
        <v>192.6</v>
      </c>
      <c r="K359">
        <v>156.30000000000001</v>
      </c>
      <c r="L359">
        <v>142.9</v>
      </c>
      <c r="M359">
        <v>170.7</v>
      </c>
      <c r="N359">
        <v>120.3</v>
      </c>
      <c r="O359">
        <v>210.5</v>
      </c>
      <c r="P359">
        <v>176.9</v>
      </c>
      <c r="Q359">
        <v>188.5</v>
      </c>
      <c r="R359">
        <v>175</v>
      </c>
      <c r="S359">
        <v>196.9</v>
      </c>
      <c r="T359">
        <v>189</v>
      </c>
      <c r="U359">
        <v>186.3</v>
      </c>
      <c r="V359">
        <v>188.6</v>
      </c>
      <c r="X359">
        <v>183.2</v>
      </c>
      <c r="Y359">
        <v>177.2</v>
      </c>
      <c r="Z359">
        <v>184.7</v>
      </c>
      <c r="AA359">
        <v>168.2</v>
      </c>
      <c r="AB359">
        <v>171.8</v>
      </c>
      <c r="AC359">
        <v>177.8</v>
      </c>
      <c r="AD359">
        <v>178.4</v>
      </c>
      <c r="AE359">
        <v>176.5</v>
      </c>
      <c r="AF359">
        <v>177.8</v>
      </c>
    </row>
    <row r="360" spans="1:32">
      <c r="A360" t="s">
        <v>33</v>
      </c>
      <c r="B360">
        <v>2023</v>
      </c>
      <c r="C360" t="s">
        <v>31</v>
      </c>
      <c r="D360">
        <v>1</v>
      </c>
      <c r="E360" s="1">
        <v>44927</v>
      </c>
      <c r="F360">
        <v>173.3</v>
      </c>
      <c r="G360">
        <v>215.2</v>
      </c>
      <c r="H360">
        <v>197</v>
      </c>
      <c r="I360">
        <v>175.2</v>
      </c>
      <c r="J360">
        <v>178</v>
      </c>
      <c r="K360">
        <v>160.5</v>
      </c>
      <c r="L360">
        <v>175.3</v>
      </c>
      <c r="M360">
        <v>171.2</v>
      </c>
      <c r="N360">
        <v>122.7</v>
      </c>
      <c r="O360">
        <v>204.3</v>
      </c>
      <c r="P360">
        <v>163.69999999999999</v>
      </c>
      <c r="Q360">
        <v>194.3</v>
      </c>
      <c r="R360">
        <v>179.5</v>
      </c>
      <c r="S360">
        <v>201.6</v>
      </c>
      <c r="T360">
        <v>178.7</v>
      </c>
      <c r="U360">
        <v>165.3</v>
      </c>
      <c r="V360">
        <v>176.6</v>
      </c>
      <c r="W360">
        <v>172.1</v>
      </c>
      <c r="X360">
        <v>180.1</v>
      </c>
      <c r="Y360">
        <v>168</v>
      </c>
      <c r="Z360">
        <v>178.5</v>
      </c>
      <c r="AA360">
        <v>159.5</v>
      </c>
      <c r="AB360">
        <v>167.8</v>
      </c>
      <c r="AC360">
        <v>171.8</v>
      </c>
      <c r="AD360">
        <v>178.8</v>
      </c>
      <c r="AE360">
        <v>168.9</v>
      </c>
      <c r="AF360">
        <v>174.9</v>
      </c>
    </row>
    <row r="361" spans="1:32">
      <c r="A361" t="s">
        <v>35</v>
      </c>
      <c r="B361">
        <v>2023</v>
      </c>
      <c r="C361" t="s">
        <v>31</v>
      </c>
      <c r="D361">
        <v>1</v>
      </c>
      <c r="E361" s="1">
        <v>44927</v>
      </c>
      <c r="F361">
        <v>173.8</v>
      </c>
      <c r="G361">
        <v>210.7</v>
      </c>
      <c r="H361">
        <v>194.5</v>
      </c>
      <c r="I361">
        <v>174.6</v>
      </c>
      <c r="J361">
        <v>187.2</v>
      </c>
      <c r="K361">
        <v>158.30000000000001</v>
      </c>
      <c r="L361">
        <v>153.9</v>
      </c>
      <c r="M361">
        <v>170.9</v>
      </c>
      <c r="N361">
        <v>121.1</v>
      </c>
      <c r="O361">
        <v>208.4</v>
      </c>
      <c r="P361">
        <v>171.4</v>
      </c>
      <c r="Q361">
        <v>191.2</v>
      </c>
      <c r="R361">
        <v>176.7</v>
      </c>
      <c r="S361">
        <v>198.2</v>
      </c>
      <c r="T361">
        <v>184.9</v>
      </c>
      <c r="U361">
        <v>177.6</v>
      </c>
      <c r="V361">
        <v>183.8</v>
      </c>
      <c r="W361">
        <v>172.1</v>
      </c>
      <c r="X361">
        <v>182</v>
      </c>
      <c r="Y361">
        <v>172.9</v>
      </c>
      <c r="Z361">
        <v>182.3</v>
      </c>
      <c r="AA361">
        <v>163.6</v>
      </c>
      <c r="AB361">
        <v>169.5</v>
      </c>
      <c r="AC361">
        <v>174.3</v>
      </c>
      <c r="AD361">
        <v>178.6</v>
      </c>
      <c r="AE361">
        <v>172.8</v>
      </c>
      <c r="AF361">
        <v>176.5</v>
      </c>
    </row>
    <row r="362" spans="1:32">
      <c r="A362" t="s">
        <v>30</v>
      </c>
      <c r="B362">
        <v>2023</v>
      </c>
      <c r="C362" t="s">
        <v>36</v>
      </c>
      <c r="D362">
        <v>2</v>
      </c>
      <c r="E362" s="1">
        <v>44958</v>
      </c>
      <c r="F362">
        <v>174.2</v>
      </c>
      <c r="G362">
        <v>205.2</v>
      </c>
      <c r="H362">
        <v>173.9</v>
      </c>
      <c r="I362">
        <v>177</v>
      </c>
      <c r="J362">
        <v>183.4</v>
      </c>
      <c r="K362">
        <v>167.2</v>
      </c>
      <c r="L362">
        <v>140.9</v>
      </c>
      <c r="M362">
        <v>170.4</v>
      </c>
      <c r="N362">
        <v>119.1</v>
      </c>
      <c r="O362">
        <v>212.1</v>
      </c>
      <c r="P362">
        <v>177.6</v>
      </c>
      <c r="Q362">
        <v>189.9</v>
      </c>
      <c r="R362">
        <v>174.8</v>
      </c>
      <c r="S362">
        <v>198.3</v>
      </c>
      <c r="T362">
        <v>190</v>
      </c>
      <c r="U362">
        <v>187</v>
      </c>
      <c r="V362">
        <v>189.6</v>
      </c>
      <c r="X362">
        <v>181.6</v>
      </c>
      <c r="Y362">
        <v>178.6</v>
      </c>
      <c r="Z362">
        <v>186.6</v>
      </c>
      <c r="AA362">
        <v>169</v>
      </c>
      <c r="AB362">
        <v>172.8</v>
      </c>
      <c r="AC362">
        <v>178.5</v>
      </c>
      <c r="AD362">
        <v>180.7</v>
      </c>
      <c r="AE362">
        <v>177.9</v>
      </c>
      <c r="AF362">
        <v>178</v>
      </c>
    </row>
    <row r="363" spans="1:32">
      <c r="A363" t="s">
        <v>33</v>
      </c>
      <c r="B363">
        <v>2023</v>
      </c>
      <c r="C363" t="s">
        <v>36</v>
      </c>
      <c r="D363">
        <v>2</v>
      </c>
      <c r="E363" s="1">
        <v>44958</v>
      </c>
      <c r="F363">
        <v>174.7</v>
      </c>
      <c r="G363">
        <v>212.2</v>
      </c>
      <c r="H363">
        <v>177.2</v>
      </c>
      <c r="I363">
        <v>177.9</v>
      </c>
      <c r="J363">
        <v>172.2</v>
      </c>
      <c r="K363">
        <v>172.1</v>
      </c>
      <c r="L363">
        <v>175.8</v>
      </c>
      <c r="M363">
        <v>172.2</v>
      </c>
      <c r="N363">
        <v>121.9</v>
      </c>
      <c r="O363">
        <v>204.8</v>
      </c>
      <c r="P363">
        <v>164.9</v>
      </c>
      <c r="Q363">
        <v>196.6</v>
      </c>
      <c r="R363">
        <v>180.7</v>
      </c>
      <c r="S363">
        <v>202.7</v>
      </c>
      <c r="T363">
        <v>180.3</v>
      </c>
      <c r="U363">
        <v>167</v>
      </c>
      <c r="V363">
        <v>178.2</v>
      </c>
      <c r="W363">
        <v>173.5</v>
      </c>
      <c r="X363">
        <v>182.8</v>
      </c>
      <c r="Y363">
        <v>169.2</v>
      </c>
      <c r="Z363">
        <v>180.8</v>
      </c>
      <c r="AA363">
        <v>159.80000000000001</v>
      </c>
      <c r="AB363">
        <v>168.4</v>
      </c>
      <c r="AC363">
        <v>172.5</v>
      </c>
      <c r="AD363">
        <v>181.4</v>
      </c>
      <c r="AE363">
        <v>170</v>
      </c>
      <c r="AF363">
        <v>176.3</v>
      </c>
    </row>
    <row r="364" spans="1:32">
      <c r="A364" t="s">
        <v>35</v>
      </c>
      <c r="B364">
        <v>2023</v>
      </c>
      <c r="C364" t="s">
        <v>36</v>
      </c>
      <c r="D364">
        <v>2</v>
      </c>
      <c r="E364" s="1">
        <v>44958</v>
      </c>
      <c r="F364">
        <v>174.4</v>
      </c>
      <c r="G364">
        <v>207.7</v>
      </c>
      <c r="H364">
        <v>175.2</v>
      </c>
      <c r="I364">
        <v>177.3</v>
      </c>
      <c r="J364">
        <v>179.3</v>
      </c>
      <c r="K364">
        <v>169.5</v>
      </c>
      <c r="L364">
        <v>152.69999999999999</v>
      </c>
      <c r="M364">
        <v>171</v>
      </c>
      <c r="N364">
        <v>120</v>
      </c>
      <c r="O364">
        <v>209.7</v>
      </c>
      <c r="P364">
        <v>172.3</v>
      </c>
      <c r="Q364">
        <v>193</v>
      </c>
      <c r="R364">
        <v>177</v>
      </c>
      <c r="S364">
        <v>199.5</v>
      </c>
      <c r="T364">
        <v>186.2</v>
      </c>
      <c r="U364">
        <v>178.7</v>
      </c>
      <c r="V364">
        <v>185.1</v>
      </c>
      <c r="W364">
        <v>173.5</v>
      </c>
      <c r="X364">
        <v>182.1</v>
      </c>
      <c r="Y364">
        <v>174.2</v>
      </c>
      <c r="Z364">
        <v>184.4</v>
      </c>
      <c r="AA364">
        <v>164.2</v>
      </c>
      <c r="AB364">
        <v>170.3</v>
      </c>
      <c r="AC364">
        <v>175</v>
      </c>
      <c r="AD364">
        <v>181</v>
      </c>
      <c r="AE364">
        <v>174.1</v>
      </c>
      <c r="AF364">
        <v>177.2</v>
      </c>
    </row>
    <row r="365" spans="1:32">
      <c r="A365" t="s">
        <v>30</v>
      </c>
      <c r="B365">
        <v>2023</v>
      </c>
      <c r="C365" t="s">
        <v>38</v>
      </c>
      <c r="D365">
        <v>3</v>
      </c>
      <c r="E365" s="1">
        <v>44986</v>
      </c>
      <c r="F365">
        <v>174.3</v>
      </c>
      <c r="G365">
        <v>205.2</v>
      </c>
      <c r="H365">
        <v>173.9</v>
      </c>
      <c r="I365">
        <v>177</v>
      </c>
      <c r="J365">
        <v>183.3</v>
      </c>
      <c r="K365">
        <v>167.2</v>
      </c>
      <c r="L365">
        <v>140.9</v>
      </c>
      <c r="M365">
        <v>170.5</v>
      </c>
      <c r="N365">
        <v>119.1</v>
      </c>
      <c r="O365">
        <v>212.1</v>
      </c>
      <c r="P365">
        <v>177.6</v>
      </c>
      <c r="Q365">
        <v>189.9</v>
      </c>
      <c r="R365">
        <v>174.8</v>
      </c>
      <c r="S365">
        <v>198.4</v>
      </c>
      <c r="T365">
        <v>190</v>
      </c>
      <c r="U365">
        <v>187</v>
      </c>
      <c r="V365">
        <v>189.6</v>
      </c>
      <c r="X365">
        <v>181.4</v>
      </c>
      <c r="Y365">
        <v>178.6</v>
      </c>
      <c r="Z365">
        <v>186.6</v>
      </c>
      <c r="AA365">
        <v>169</v>
      </c>
      <c r="AB365">
        <v>172.8</v>
      </c>
      <c r="AC365">
        <v>178.5</v>
      </c>
      <c r="AD365">
        <v>180.7</v>
      </c>
      <c r="AE365">
        <v>177.9</v>
      </c>
      <c r="AF365">
        <v>178</v>
      </c>
    </row>
    <row r="366" spans="1:32">
      <c r="A366" t="s">
        <v>33</v>
      </c>
      <c r="B366">
        <v>2023</v>
      </c>
      <c r="C366" t="s">
        <v>38</v>
      </c>
      <c r="D366">
        <v>3</v>
      </c>
      <c r="E366" s="1">
        <v>44986</v>
      </c>
      <c r="F366">
        <v>174.7</v>
      </c>
      <c r="G366">
        <v>212.2</v>
      </c>
      <c r="H366">
        <v>177.2</v>
      </c>
      <c r="I366">
        <v>177.9</v>
      </c>
      <c r="J366">
        <v>172.2</v>
      </c>
      <c r="K366">
        <v>172.1</v>
      </c>
      <c r="L366">
        <v>175.9</v>
      </c>
      <c r="M366">
        <v>172.2</v>
      </c>
      <c r="N366">
        <v>121.9</v>
      </c>
      <c r="O366">
        <v>204.8</v>
      </c>
      <c r="P366">
        <v>164.9</v>
      </c>
      <c r="Q366">
        <v>196.6</v>
      </c>
      <c r="R366">
        <v>180.8</v>
      </c>
      <c r="S366">
        <v>202.7</v>
      </c>
      <c r="T366">
        <v>180.2</v>
      </c>
      <c r="U366">
        <v>167</v>
      </c>
      <c r="V366">
        <v>178.2</v>
      </c>
      <c r="W366">
        <v>173.5</v>
      </c>
      <c r="X366">
        <v>182.6</v>
      </c>
      <c r="Y366">
        <v>169.2</v>
      </c>
      <c r="Z366">
        <v>180.8</v>
      </c>
      <c r="AA366">
        <v>159.80000000000001</v>
      </c>
      <c r="AB366">
        <v>168.4</v>
      </c>
      <c r="AC366">
        <v>172.5</v>
      </c>
      <c r="AD366">
        <v>181.5</v>
      </c>
      <c r="AE366">
        <v>170</v>
      </c>
      <c r="AF366">
        <v>176.3</v>
      </c>
    </row>
    <row r="367" spans="1:32">
      <c r="A367" t="s">
        <v>35</v>
      </c>
      <c r="B367">
        <v>2023</v>
      </c>
      <c r="C367" t="s">
        <v>38</v>
      </c>
      <c r="D367">
        <v>3</v>
      </c>
      <c r="E367" s="1">
        <v>44986</v>
      </c>
      <c r="F367">
        <v>174.4</v>
      </c>
      <c r="G367">
        <v>207.7</v>
      </c>
      <c r="H367">
        <v>175.2</v>
      </c>
      <c r="I367">
        <v>177.3</v>
      </c>
      <c r="J367">
        <v>179.2</v>
      </c>
      <c r="K367">
        <v>169.5</v>
      </c>
      <c r="L367">
        <v>152.80000000000001</v>
      </c>
      <c r="M367">
        <v>171.1</v>
      </c>
      <c r="N367">
        <v>120</v>
      </c>
      <c r="O367">
        <v>209.7</v>
      </c>
      <c r="P367">
        <v>172.3</v>
      </c>
      <c r="Q367">
        <v>193</v>
      </c>
      <c r="R367">
        <v>177</v>
      </c>
      <c r="S367">
        <v>199.5</v>
      </c>
      <c r="T367">
        <v>186.1</v>
      </c>
      <c r="U367">
        <v>178.7</v>
      </c>
      <c r="V367">
        <v>185.1</v>
      </c>
      <c r="W367">
        <v>173.5</v>
      </c>
      <c r="X367">
        <v>181.9</v>
      </c>
      <c r="Y367">
        <v>174.2</v>
      </c>
      <c r="Z367">
        <v>184.4</v>
      </c>
      <c r="AA367">
        <v>164.2</v>
      </c>
      <c r="AB367">
        <v>170.3</v>
      </c>
      <c r="AC367">
        <v>175</v>
      </c>
      <c r="AD367">
        <v>181</v>
      </c>
      <c r="AE367">
        <v>174.1</v>
      </c>
      <c r="AF367">
        <v>177.2</v>
      </c>
    </row>
    <row r="368" spans="1:32">
      <c r="A368" t="s">
        <v>30</v>
      </c>
      <c r="B368">
        <v>2023</v>
      </c>
      <c r="C368" t="s">
        <v>39</v>
      </c>
      <c r="D368">
        <v>4</v>
      </c>
      <c r="E368" s="1">
        <v>45017</v>
      </c>
      <c r="F368">
        <v>173.3</v>
      </c>
      <c r="G368">
        <v>206.9</v>
      </c>
      <c r="H368">
        <v>167.9</v>
      </c>
      <c r="I368">
        <v>178.2</v>
      </c>
      <c r="J368">
        <v>178.5</v>
      </c>
      <c r="K368">
        <v>173.7</v>
      </c>
      <c r="L368">
        <v>142.80000000000001</v>
      </c>
      <c r="M368">
        <v>172.8</v>
      </c>
      <c r="N368">
        <v>120.4</v>
      </c>
      <c r="O368">
        <v>215.5</v>
      </c>
      <c r="P368">
        <v>178.2</v>
      </c>
      <c r="Q368">
        <v>190.5</v>
      </c>
      <c r="R368">
        <v>175.5</v>
      </c>
      <c r="S368">
        <v>199.5</v>
      </c>
      <c r="T368">
        <v>190.7</v>
      </c>
      <c r="U368">
        <v>187.3</v>
      </c>
      <c r="V368">
        <v>190.2</v>
      </c>
      <c r="X368">
        <v>181.5</v>
      </c>
      <c r="Y368">
        <v>179.1</v>
      </c>
      <c r="Z368">
        <v>187.2</v>
      </c>
      <c r="AA368">
        <v>169.4</v>
      </c>
      <c r="AB368">
        <v>173.2</v>
      </c>
      <c r="AC368">
        <v>179.4</v>
      </c>
      <c r="AD368">
        <v>183.8</v>
      </c>
      <c r="AE368">
        <v>178.9</v>
      </c>
      <c r="AF368">
        <v>178.8</v>
      </c>
    </row>
    <row r="369" spans="1:32">
      <c r="A369" t="s">
        <v>33</v>
      </c>
      <c r="B369">
        <v>2023</v>
      </c>
      <c r="C369" t="s">
        <v>39</v>
      </c>
      <c r="D369">
        <v>4</v>
      </c>
      <c r="E369" s="1">
        <v>45017</v>
      </c>
      <c r="F369">
        <v>174.8</v>
      </c>
      <c r="G369">
        <v>213.7</v>
      </c>
      <c r="H369">
        <v>172.4</v>
      </c>
      <c r="I369">
        <v>178.8</v>
      </c>
      <c r="J369">
        <v>168.7</v>
      </c>
      <c r="K369">
        <v>179.2</v>
      </c>
      <c r="L369">
        <v>179.9</v>
      </c>
      <c r="M369">
        <v>174.7</v>
      </c>
      <c r="N369">
        <v>123.1</v>
      </c>
      <c r="O369">
        <v>207.8</v>
      </c>
      <c r="P369">
        <v>165.5</v>
      </c>
      <c r="Q369">
        <v>197</v>
      </c>
      <c r="R369">
        <v>182.1</v>
      </c>
      <c r="S369">
        <v>203.5</v>
      </c>
      <c r="T369">
        <v>181</v>
      </c>
      <c r="U369">
        <v>167.7</v>
      </c>
      <c r="V369">
        <v>178.9</v>
      </c>
      <c r="W369">
        <v>175.2</v>
      </c>
      <c r="X369">
        <v>182.1</v>
      </c>
      <c r="Y369">
        <v>169.6</v>
      </c>
      <c r="Z369">
        <v>181.5</v>
      </c>
      <c r="AA369">
        <v>160.1</v>
      </c>
      <c r="AB369">
        <v>168.8</v>
      </c>
      <c r="AC369">
        <v>174.2</v>
      </c>
      <c r="AD369">
        <v>184.4</v>
      </c>
      <c r="AE369">
        <v>170.9</v>
      </c>
      <c r="AF369">
        <v>177.4</v>
      </c>
    </row>
    <row r="370" spans="1:32">
      <c r="A370" t="s">
        <v>35</v>
      </c>
      <c r="B370">
        <v>2023</v>
      </c>
      <c r="C370" t="s">
        <v>39</v>
      </c>
      <c r="D370">
        <v>4</v>
      </c>
      <c r="E370" s="1">
        <v>45017</v>
      </c>
      <c r="F370">
        <v>173.8</v>
      </c>
      <c r="G370">
        <v>209.3</v>
      </c>
      <c r="H370">
        <v>169.6</v>
      </c>
      <c r="I370">
        <v>178.4</v>
      </c>
      <c r="J370">
        <v>174.9</v>
      </c>
      <c r="K370">
        <v>176.3</v>
      </c>
      <c r="L370">
        <v>155.4</v>
      </c>
      <c r="M370">
        <v>173.4</v>
      </c>
      <c r="N370">
        <v>121.3</v>
      </c>
      <c r="O370">
        <v>212.9</v>
      </c>
      <c r="P370">
        <v>172.9</v>
      </c>
      <c r="Q370">
        <v>193.5</v>
      </c>
      <c r="R370">
        <v>177.9</v>
      </c>
      <c r="S370">
        <v>200.6</v>
      </c>
      <c r="T370">
        <v>186.9</v>
      </c>
      <c r="U370">
        <v>179.2</v>
      </c>
      <c r="V370">
        <v>185.7</v>
      </c>
      <c r="W370">
        <v>175.2</v>
      </c>
      <c r="X370">
        <v>181.7</v>
      </c>
      <c r="Y370">
        <v>174.6</v>
      </c>
      <c r="Z370">
        <v>185</v>
      </c>
      <c r="AA370">
        <v>164.5</v>
      </c>
      <c r="AB370">
        <v>170.7</v>
      </c>
      <c r="AC370">
        <v>176.4</v>
      </c>
      <c r="AD370">
        <v>184</v>
      </c>
      <c r="AE370">
        <v>175</v>
      </c>
      <c r="AF370">
        <v>178.1</v>
      </c>
    </row>
    <row r="371" spans="1:32">
      <c r="A371" t="s">
        <v>30</v>
      </c>
      <c r="B371">
        <v>2023</v>
      </c>
      <c r="C371" t="s">
        <v>41</v>
      </c>
      <c r="D371">
        <v>5</v>
      </c>
      <c r="E371" s="1">
        <v>45047</v>
      </c>
      <c r="F371">
        <v>173.2</v>
      </c>
      <c r="G371">
        <v>211.5</v>
      </c>
      <c r="H371">
        <v>171</v>
      </c>
      <c r="I371">
        <v>179.6</v>
      </c>
      <c r="J371">
        <v>173.3</v>
      </c>
      <c r="K371">
        <v>169</v>
      </c>
      <c r="L371">
        <v>148.69999999999999</v>
      </c>
      <c r="M371">
        <v>174.9</v>
      </c>
      <c r="N371">
        <v>121.9</v>
      </c>
      <c r="O371">
        <v>221</v>
      </c>
      <c r="P371">
        <v>178.7</v>
      </c>
      <c r="Q371">
        <v>191.1</v>
      </c>
      <c r="R371">
        <v>176.8</v>
      </c>
      <c r="S371">
        <v>199.9</v>
      </c>
      <c r="T371">
        <v>191.2</v>
      </c>
      <c r="U371">
        <v>187.9</v>
      </c>
      <c r="V371">
        <v>190.8</v>
      </c>
      <c r="X371">
        <v>182.5</v>
      </c>
      <c r="Y371">
        <v>179.8</v>
      </c>
      <c r="Z371">
        <v>187.8</v>
      </c>
      <c r="AA371">
        <v>169.7</v>
      </c>
      <c r="AB371">
        <v>173.8</v>
      </c>
      <c r="AC371">
        <v>180.3</v>
      </c>
      <c r="AD371">
        <v>184.9</v>
      </c>
      <c r="AE371">
        <v>179.5</v>
      </c>
      <c r="AF371">
        <v>179.8</v>
      </c>
    </row>
    <row r="372" spans="1:32">
      <c r="A372" t="s">
        <v>33</v>
      </c>
      <c r="B372">
        <v>2023</v>
      </c>
      <c r="C372" t="s">
        <v>41</v>
      </c>
      <c r="D372">
        <v>5</v>
      </c>
      <c r="E372" s="1">
        <v>45047</v>
      </c>
      <c r="F372">
        <v>174.7</v>
      </c>
      <c r="G372">
        <v>219.4</v>
      </c>
      <c r="H372">
        <v>176.7</v>
      </c>
      <c r="I372">
        <v>179.4</v>
      </c>
      <c r="J372">
        <v>164.4</v>
      </c>
      <c r="K372">
        <v>175.8</v>
      </c>
      <c r="L372">
        <v>185</v>
      </c>
      <c r="M372">
        <v>176.9</v>
      </c>
      <c r="N372">
        <v>124.2</v>
      </c>
      <c r="O372">
        <v>211.9</v>
      </c>
      <c r="P372">
        <v>165.9</v>
      </c>
      <c r="Q372">
        <v>197.7</v>
      </c>
      <c r="R372">
        <v>183.1</v>
      </c>
      <c r="S372">
        <v>204.2</v>
      </c>
      <c r="T372">
        <v>181.3</v>
      </c>
      <c r="U372">
        <v>168.1</v>
      </c>
      <c r="V372">
        <v>179.3</v>
      </c>
      <c r="W372">
        <v>175.6</v>
      </c>
      <c r="X372">
        <v>183.4</v>
      </c>
      <c r="Y372">
        <v>170.1</v>
      </c>
      <c r="Z372">
        <v>182.2</v>
      </c>
      <c r="AA372">
        <v>160.4</v>
      </c>
      <c r="AB372">
        <v>169.2</v>
      </c>
      <c r="AC372">
        <v>174.8</v>
      </c>
      <c r="AD372">
        <v>185.6</v>
      </c>
      <c r="AE372">
        <v>171.6</v>
      </c>
      <c r="AF372">
        <v>178.2</v>
      </c>
    </row>
    <row r="373" spans="1:32">
      <c r="A373" t="s">
        <v>35</v>
      </c>
      <c r="B373">
        <v>2023</v>
      </c>
      <c r="C373" t="s">
        <v>41</v>
      </c>
      <c r="D373">
        <v>5</v>
      </c>
      <c r="E373" s="1">
        <v>45047</v>
      </c>
      <c r="F373">
        <v>173.7</v>
      </c>
      <c r="G373">
        <v>214.3</v>
      </c>
      <c r="H373">
        <v>173.2</v>
      </c>
      <c r="I373">
        <v>179.5</v>
      </c>
      <c r="J373">
        <v>170</v>
      </c>
      <c r="K373">
        <v>172.2</v>
      </c>
      <c r="L373">
        <v>161</v>
      </c>
      <c r="M373">
        <v>175.6</v>
      </c>
      <c r="N373">
        <v>122.7</v>
      </c>
      <c r="O373">
        <v>218</v>
      </c>
      <c r="P373">
        <v>173.4</v>
      </c>
      <c r="Q373">
        <v>194.2</v>
      </c>
      <c r="R373">
        <v>179.1</v>
      </c>
      <c r="S373">
        <v>201</v>
      </c>
      <c r="T373">
        <v>187.3</v>
      </c>
      <c r="U373">
        <v>179.7</v>
      </c>
      <c r="V373">
        <v>186.2</v>
      </c>
      <c r="W373">
        <v>175.6</v>
      </c>
      <c r="X373">
        <v>182.8</v>
      </c>
      <c r="Y373">
        <v>175.2</v>
      </c>
      <c r="Z373">
        <v>185.7</v>
      </c>
      <c r="AA373">
        <v>164.8</v>
      </c>
      <c r="AB373">
        <v>171.2</v>
      </c>
      <c r="AC373">
        <v>177.1</v>
      </c>
      <c r="AD373">
        <v>185.2</v>
      </c>
      <c r="AE373">
        <v>175.7</v>
      </c>
      <c r="AF373">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EFFA0-E8DD-47CB-A30F-416EEDA14103}">
  <dimension ref="A4:E28"/>
  <sheetViews>
    <sheetView tabSelected="1" topLeftCell="A46" workbookViewId="0">
      <selection activeCell="H68" sqref="H68"/>
    </sheetView>
  </sheetViews>
  <sheetFormatPr defaultRowHeight="14.45"/>
  <cols>
    <col min="1" max="1" width="11.140625" bestFit="1" customWidth="1"/>
    <col min="2" max="2" width="7.140625" bestFit="1" customWidth="1"/>
    <col min="3" max="3" width="25.5703125" bestFit="1" customWidth="1"/>
    <col min="4" max="4" width="7.85546875" bestFit="1" customWidth="1"/>
    <col min="5" max="5" width="25.140625" customWidth="1"/>
    <col min="6" max="6" width="15.5703125" bestFit="1" customWidth="1"/>
    <col min="7" max="7" width="7.140625" bestFit="1" customWidth="1"/>
    <col min="8" max="8" width="21" bestFit="1" customWidth="1"/>
    <col min="9" max="9" width="14.140625" bestFit="1" customWidth="1"/>
    <col min="10" max="10" width="6" bestFit="1" customWidth="1"/>
    <col min="11" max="11" width="18.140625" bestFit="1" customWidth="1"/>
    <col min="12" max="12" width="13.42578125" bestFit="1" customWidth="1"/>
    <col min="13" max="13" width="8" bestFit="1" customWidth="1"/>
    <col min="14" max="14" width="12.42578125" bestFit="1" customWidth="1"/>
    <col min="15" max="15" width="20.140625" bestFit="1" customWidth="1"/>
    <col min="16" max="16" width="23.5703125" bestFit="1" customWidth="1"/>
    <col min="18" max="18" width="24" bestFit="1" customWidth="1"/>
    <col min="19" max="19" width="33.7109375" bestFit="1" customWidth="1"/>
    <col min="20" max="20" width="19.7109375" bestFit="1" customWidth="1"/>
    <col min="21" max="21" width="27.28515625" bestFit="1" customWidth="1"/>
    <col min="22" max="22" width="10.140625" bestFit="1" customWidth="1"/>
    <col min="23" max="23" width="10.85546875" bestFit="1" customWidth="1"/>
    <col min="24" max="24" width="21.28515625" bestFit="1" customWidth="1"/>
    <col min="25" max="25" width="9.85546875" bestFit="1" customWidth="1"/>
    <col min="26" max="26" width="14.28515625" bestFit="1" customWidth="1"/>
    <col min="27" max="27" width="28.42578125" bestFit="1" customWidth="1"/>
    <col min="28" max="28" width="8.7109375" bestFit="1" customWidth="1"/>
    <col min="29" max="29" width="28.42578125" bestFit="1" customWidth="1"/>
    <col min="30" max="30" width="26.28515625" bestFit="1" customWidth="1"/>
    <col min="31" max="31" width="11.5703125" bestFit="1" customWidth="1"/>
    <col min="32" max="32" width="24.28515625" bestFit="1" customWidth="1"/>
    <col min="33" max="33" width="15.140625" bestFit="1" customWidth="1"/>
    <col min="34" max="34" width="14.7109375" bestFit="1" customWidth="1"/>
  </cols>
  <sheetData>
    <row r="4" spans="1:5">
      <c r="A4" t="s">
        <v>0</v>
      </c>
      <c r="B4" t="s">
        <v>166</v>
      </c>
      <c r="C4" t="s">
        <v>167</v>
      </c>
      <c r="D4" t="s">
        <v>168</v>
      </c>
      <c r="E4" t="s">
        <v>169</v>
      </c>
    </row>
    <row r="5" spans="1:5" hidden="1">
      <c r="A5" s="5" t="s">
        <v>30</v>
      </c>
      <c r="B5" s="6">
        <v>45047</v>
      </c>
      <c r="C5" s="5" t="s">
        <v>15</v>
      </c>
      <c r="D5" s="5">
        <v>176.8</v>
      </c>
      <c r="E5" s="7">
        <f>analysis_1[[#This Row],[Value]]/SUM($D$5:$D$12)*100</f>
        <v>12.046879258653584</v>
      </c>
    </row>
    <row r="6" spans="1:5" hidden="1">
      <c r="A6" s="5" t="s">
        <v>30</v>
      </c>
      <c r="B6" s="6">
        <v>45047</v>
      </c>
      <c r="C6" s="5" t="s">
        <v>16</v>
      </c>
      <c r="D6" s="5">
        <v>199.9</v>
      </c>
      <c r="E6" s="7">
        <f>analysis_1[[#This Row],[Value]]/SUM($D$5:$D$12)*100</f>
        <v>13.62087762333061</v>
      </c>
    </row>
    <row r="7" spans="1:5" hidden="1">
      <c r="A7" s="5" t="s">
        <v>30</v>
      </c>
      <c r="B7" s="6">
        <v>45047</v>
      </c>
      <c r="C7" s="5" t="s">
        <v>19</v>
      </c>
      <c r="D7" s="5">
        <v>190.8</v>
      </c>
      <c r="E7" s="7">
        <f>analysis_1[[#This Row],[Value]]/SUM($D$5:$D$12)*100</f>
        <v>13.000817661488146</v>
      </c>
    </row>
    <row r="8" spans="1:5" hidden="1">
      <c r="A8" s="5" t="s">
        <v>30</v>
      </c>
      <c r="B8" s="6">
        <v>45047</v>
      </c>
      <c r="C8" s="5" t="s">
        <v>21</v>
      </c>
      <c r="D8" s="5">
        <v>182.5</v>
      </c>
      <c r="E8" s="7">
        <f>analysis_1[[#This Row],[Value]]/SUM($D$5:$D$12)*100</f>
        <v>12.435268465521942</v>
      </c>
    </row>
    <row r="9" spans="1:5" hidden="1">
      <c r="A9" s="5" t="s">
        <v>30</v>
      </c>
      <c r="B9" s="6">
        <v>45047</v>
      </c>
      <c r="C9" s="5" t="s">
        <v>22</v>
      </c>
      <c r="D9" s="5">
        <v>179.8</v>
      </c>
      <c r="E9" s="7">
        <f>analysis_1[[#This Row],[Value]]/SUM($D$5:$D$12)*100</f>
        <v>12.251294630689562</v>
      </c>
    </row>
    <row r="10" spans="1:5" hidden="1">
      <c r="A10" s="5" t="s">
        <v>30</v>
      </c>
      <c r="B10" s="6">
        <v>45047</v>
      </c>
      <c r="C10" s="5" t="s">
        <v>23</v>
      </c>
      <c r="D10" s="5">
        <v>187.8</v>
      </c>
      <c r="E10" s="7">
        <f>analysis_1[[#This Row],[Value]]/SUM($D$5:$D$12)*100</f>
        <v>12.796402289452169</v>
      </c>
    </row>
    <row r="11" spans="1:5" hidden="1">
      <c r="A11" s="5" t="s">
        <v>30</v>
      </c>
      <c r="B11" s="6">
        <v>45047</v>
      </c>
      <c r="C11" s="5" t="s">
        <v>24</v>
      </c>
      <c r="D11" s="5">
        <v>169.7</v>
      </c>
      <c r="E11" s="7">
        <f>analysis_1[[#This Row],[Value]]/SUM($D$5:$D$12)*100</f>
        <v>11.563096211501772</v>
      </c>
    </row>
    <row r="12" spans="1:5" hidden="1">
      <c r="A12" s="5" t="s">
        <v>30</v>
      </c>
      <c r="B12" s="6">
        <v>45047</v>
      </c>
      <c r="C12" s="5" t="s">
        <v>26</v>
      </c>
      <c r="D12" s="5">
        <v>180.3</v>
      </c>
      <c r="E12" s="7">
        <f>analysis_1[[#This Row],[Value]]/SUM($D$5:$D$12)*100</f>
        <v>12.285363859362224</v>
      </c>
    </row>
    <row r="13" spans="1:5" hidden="1">
      <c r="A13" s="8" t="s">
        <v>33</v>
      </c>
      <c r="B13" s="9">
        <v>45047</v>
      </c>
      <c r="C13" s="8" t="s">
        <v>15</v>
      </c>
      <c r="D13" s="8">
        <v>183.1</v>
      </c>
      <c r="E13" s="10">
        <f>analysis_1[[#This Row],[Value]]/SUM($D$13:$D$20)*100</f>
        <v>12.737391304347826</v>
      </c>
    </row>
    <row r="14" spans="1:5" hidden="1">
      <c r="A14" s="8" t="s">
        <v>33</v>
      </c>
      <c r="B14" s="9">
        <v>45047</v>
      </c>
      <c r="C14" s="8" t="s">
        <v>16</v>
      </c>
      <c r="D14" s="8">
        <v>204.2</v>
      </c>
      <c r="E14" s="10">
        <f>analysis_1[[#This Row],[Value]]/SUM($D$13:$D$20)*100</f>
        <v>14.205217391304348</v>
      </c>
    </row>
    <row r="15" spans="1:5" hidden="1">
      <c r="A15" s="8" t="s">
        <v>33</v>
      </c>
      <c r="B15" s="9">
        <v>45047</v>
      </c>
      <c r="C15" s="8" t="s">
        <v>19</v>
      </c>
      <c r="D15" s="8">
        <v>179.3</v>
      </c>
      <c r="E15" s="10">
        <f>analysis_1[[#This Row],[Value]]/SUM($D$13:$D$20)*100</f>
        <v>12.47304347826087</v>
      </c>
    </row>
    <row r="16" spans="1:5" hidden="1">
      <c r="A16" s="8" t="s">
        <v>33</v>
      </c>
      <c r="B16" s="9">
        <v>45047</v>
      </c>
      <c r="C16" s="8" t="s">
        <v>21</v>
      </c>
      <c r="D16" s="8">
        <v>183.4</v>
      </c>
      <c r="E16" s="10">
        <f>analysis_1[[#This Row],[Value]]/SUM($D$13:$D$20)*100</f>
        <v>12.75826086956522</v>
      </c>
    </row>
    <row r="17" spans="1:5" hidden="1">
      <c r="A17" s="8" t="s">
        <v>33</v>
      </c>
      <c r="B17" s="9">
        <v>45047</v>
      </c>
      <c r="C17" s="8" t="s">
        <v>22</v>
      </c>
      <c r="D17" s="8">
        <v>170.1</v>
      </c>
      <c r="E17" s="10">
        <f>analysis_1[[#This Row],[Value]]/SUM($D$13:$D$20)*100</f>
        <v>11.833043478260869</v>
      </c>
    </row>
    <row r="18" spans="1:5" hidden="1">
      <c r="A18" s="8" t="s">
        <v>33</v>
      </c>
      <c r="B18" s="9">
        <v>45047</v>
      </c>
      <c r="C18" s="8" t="s">
        <v>23</v>
      </c>
      <c r="D18" s="8">
        <v>182.2</v>
      </c>
      <c r="E18" s="10">
        <f>analysis_1[[#This Row],[Value]]/SUM($D$13:$D$20)*100</f>
        <v>12.674782608695651</v>
      </c>
    </row>
    <row r="19" spans="1:5" hidden="1">
      <c r="A19" s="8" t="s">
        <v>33</v>
      </c>
      <c r="B19" s="9">
        <v>45047</v>
      </c>
      <c r="C19" s="8" t="s">
        <v>24</v>
      </c>
      <c r="D19" s="8">
        <v>160.4</v>
      </c>
      <c r="E19" s="10">
        <f>analysis_1[[#This Row],[Value]]/SUM($D$13:$D$20)*100</f>
        <v>11.158260869565218</v>
      </c>
    </row>
    <row r="20" spans="1:5" hidden="1">
      <c r="A20" s="8" t="s">
        <v>33</v>
      </c>
      <c r="B20" s="9">
        <v>45047</v>
      </c>
      <c r="C20" s="8" t="s">
        <v>26</v>
      </c>
      <c r="D20" s="8">
        <v>174.8</v>
      </c>
      <c r="E20" s="10">
        <f>analysis_1[[#This Row],[Value]]/SUM($D$13:$D$20)*100</f>
        <v>12.160000000000002</v>
      </c>
    </row>
    <row r="21" spans="1:5">
      <c r="A21" s="11" t="s">
        <v>35</v>
      </c>
      <c r="B21" s="12">
        <v>45047</v>
      </c>
      <c r="C21" s="11" t="s">
        <v>15</v>
      </c>
      <c r="D21" s="11">
        <v>179.1</v>
      </c>
      <c r="E21" s="13">
        <f>analysis_1[[#This Row],[Value]]/SUM($D$21:$D$28)*100</f>
        <v>12.335560300296164</v>
      </c>
    </row>
    <row r="22" spans="1:5">
      <c r="A22" s="11" t="s">
        <v>35</v>
      </c>
      <c r="B22" s="12">
        <v>45047</v>
      </c>
      <c r="C22" s="11" t="s">
        <v>16</v>
      </c>
      <c r="D22" s="11">
        <v>201</v>
      </c>
      <c r="E22" s="13">
        <f>analysis_1[[#This Row],[Value]]/SUM($D$21:$D$28)*100</f>
        <v>13.843928645223503</v>
      </c>
    </row>
    <row r="23" spans="1:5">
      <c r="A23" s="11" t="s">
        <v>35</v>
      </c>
      <c r="B23" s="12">
        <v>45047</v>
      </c>
      <c r="C23" s="11" t="s">
        <v>19</v>
      </c>
      <c r="D23" s="11">
        <v>186.2</v>
      </c>
      <c r="E23" s="13">
        <f>analysis_1[[#This Row],[Value]]/SUM($D$21:$D$28)*100</f>
        <v>12.824574695226945</v>
      </c>
    </row>
    <row r="24" spans="1:5">
      <c r="A24" s="11" t="s">
        <v>35</v>
      </c>
      <c r="B24" s="12">
        <v>45047</v>
      </c>
      <c r="C24" s="11" t="s">
        <v>21</v>
      </c>
      <c r="D24" s="11">
        <v>182.8</v>
      </c>
      <c r="E24" s="13">
        <f>analysis_1[[#This Row],[Value]]/SUM($D$21:$D$28)*100</f>
        <v>12.590398787795303</v>
      </c>
    </row>
    <row r="25" spans="1:5">
      <c r="A25" s="11" t="s">
        <v>35</v>
      </c>
      <c r="B25" s="12">
        <v>45047</v>
      </c>
      <c r="C25" s="11" t="s">
        <v>22</v>
      </c>
      <c r="D25" s="11">
        <v>175.2</v>
      </c>
      <c r="E25" s="13">
        <f>analysis_1[[#This Row],[Value]]/SUM($D$21:$D$28)*100</f>
        <v>12.066946759418693</v>
      </c>
    </row>
    <row r="26" spans="1:5">
      <c r="A26" s="11" t="s">
        <v>35</v>
      </c>
      <c r="B26" s="12">
        <v>45047</v>
      </c>
      <c r="C26" s="11" t="s">
        <v>23</v>
      </c>
      <c r="D26" s="11">
        <v>185.7</v>
      </c>
      <c r="E26" s="13">
        <f>analysis_1[[#This Row],[Value]]/SUM($D$21:$D$28)*100</f>
        <v>12.790137061781115</v>
      </c>
    </row>
    <row r="27" spans="1:5">
      <c r="A27" s="11" t="s">
        <v>35</v>
      </c>
      <c r="B27" s="12">
        <v>45047</v>
      </c>
      <c r="C27" s="11" t="s">
        <v>24</v>
      </c>
      <c r="D27" s="11">
        <v>164.8</v>
      </c>
      <c r="E27" s="13">
        <f>analysis_1[[#This Row],[Value]]/SUM($D$21:$D$28)*100</f>
        <v>11.350643983745439</v>
      </c>
    </row>
    <row r="28" spans="1:5">
      <c r="A28" s="11" t="s">
        <v>35</v>
      </c>
      <c r="B28" s="12">
        <v>45047</v>
      </c>
      <c r="C28" s="11" t="s">
        <v>26</v>
      </c>
      <c r="D28" s="11">
        <v>177.1</v>
      </c>
      <c r="E28" s="13">
        <f>analysis_1[[#This Row],[Value]]/SUM($D$21:$D$28)*100</f>
        <v>12.197809766512846</v>
      </c>
    </row>
  </sheetData>
  <phoneticPr fontId="2"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2B446-0F9E-45C6-AB43-B3050861E35F}">
  <dimension ref="A4:C11"/>
  <sheetViews>
    <sheetView workbookViewId="0">
      <selection activeCell="T20" sqref="T20"/>
    </sheetView>
  </sheetViews>
  <sheetFormatPr defaultRowHeight="14.45"/>
  <cols>
    <col min="1" max="1" width="6.85546875" bestFit="1" customWidth="1"/>
    <col min="2" max="2" width="21.7109375" bestFit="1" customWidth="1"/>
    <col min="3" max="3" width="13.85546875" customWidth="1"/>
  </cols>
  <sheetData>
    <row r="4" spans="1:3">
      <c r="A4" t="s">
        <v>1</v>
      </c>
      <c r="B4" t="s">
        <v>170</v>
      </c>
      <c r="C4" t="s">
        <v>171</v>
      </c>
    </row>
    <row r="5" spans="1:3">
      <c r="A5">
        <v>2016</v>
      </c>
      <c r="B5">
        <v>129.19999999999999</v>
      </c>
      <c r="C5" s="35" t="s">
        <v>172</v>
      </c>
    </row>
    <row r="6" spans="1:3">
      <c r="A6">
        <v>2017</v>
      </c>
      <c r="B6">
        <v>133.5</v>
      </c>
      <c r="C6" s="4">
        <f>(B6-B5)/B5</f>
        <v>3.3281733746130124E-2</v>
      </c>
    </row>
    <row r="7" spans="1:3">
      <c r="A7">
        <v>2018</v>
      </c>
      <c r="B7">
        <v>138.78</v>
      </c>
      <c r="C7" s="4">
        <f t="shared" ref="C7:C11" si="0">(B7-B6)/B6</f>
        <v>3.955056179775282E-2</v>
      </c>
    </row>
    <row r="8" spans="1:3">
      <c r="A8">
        <v>2019</v>
      </c>
      <c r="B8">
        <v>143.93</v>
      </c>
      <c r="C8" s="4">
        <f t="shared" si="0"/>
        <v>3.7109093529327036E-2</v>
      </c>
    </row>
    <row r="9" spans="1:3">
      <c r="A9">
        <v>2020</v>
      </c>
      <c r="B9">
        <v>152.85</v>
      </c>
      <c r="C9" s="4">
        <f t="shared" si="0"/>
        <v>6.1974570972000188E-2</v>
      </c>
    </row>
    <row r="10" spans="1:3">
      <c r="A10">
        <v>2021</v>
      </c>
      <c r="B10">
        <v>161.46</v>
      </c>
      <c r="C10" s="4">
        <f t="shared" si="0"/>
        <v>5.6329735034347489E-2</v>
      </c>
    </row>
    <row r="11" spans="1:3">
      <c r="A11">
        <v>2022</v>
      </c>
      <c r="B11">
        <v>172.15</v>
      </c>
      <c r="C11" s="4">
        <f t="shared" si="0"/>
        <v>6.6208348817044446E-2</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BB97A-A869-41B4-BA67-C3A4C039B0C6}">
  <dimension ref="A4:R34"/>
  <sheetViews>
    <sheetView topLeftCell="A17" zoomScaleNormal="100" workbookViewId="0">
      <selection activeCell="F19" sqref="F19"/>
    </sheetView>
  </sheetViews>
  <sheetFormatPr defaultRowHeight="14.45"/>
  <cols>
    <col min="1" max="1" width="14.5703125" bestFit="1" customWidth="1"/>
    <col min="2" max="2" width="6.85546875" bestFit="1" customWidth="1"/>
    <col min="3" max="3" width="9.7109375" bestFit="1" customWidth="1"/>
    <col min="4" max="4" width="16.5703125" bestFit="1" customWidth="1"/>
    <col min="5" max="5" width="15.140625" customWidth="1"/>
    <col min="6" max="6" width="19.7109375" bestFit="1" customWidth="1"/>
    <col min="7" max="7" width="21" bestFit="1" customWidth="1"/>
    <col min="8" max="8" width="14.140625" bestFit="1" customWidth="1"/>
    <col min="9" max="9" width="19" customWidth="1"/>
    <col min="10" max="10" width="18.140625" bestFit="1" customWidth="1"/>
    <col min="11" max="11" width="13.42578125" bestFit="1" customWidth="1"/>
    <col min="12" max="12" width="16.7109375" customWidth="1"/>
    <col min="13" max="13" width="18.7109375" customWidth="1"/>
    <col min="14" max="14" width="20.140625" bestFit="1" customWidth="1"/>
    <col min="15" max="15" width="23.5703125" bestFit="1" customWidth="1"/>
    <col min="16" max="16" width="8.85546875" bestFit="1" customWidth="1"/>
    <col min="17" max="17" width="23.7109375" bestFit="1" customWidth="1"/>
    <col min="18" max="18" width="33.28515625" bestFit="1" customWidth="1"/>
  </cols>
  <sheetData>
    <row r="4" spans="1:18">
      <c r="A4" t="s">
        <v>0</v>
      </c>
      <c r="B4" t="s">
        <v>1</v>
      </c>
      <c r="C4" t="s">
        <v>2</v>
      </c>
      <c r="D4" t="s">
        <v>165</v>
      </c>
      <c r="E4" t="s">
        <v>166</v>
      </c>
      <c r="F4" t="s">
        <v>15</v>
      </c>
      <c r="G4" t="s">
        <v>3</v>
      </c>
      <c r="H4" t="s">
        <v>4</v>
      </c>
      <c r="I4" t="s">
        <v>5</v>
      </c>
      <c r="J4" t="s">
        <v>6</v>
      </c>
      <c r="K4" t="s">
        <v>7</v>
      </c>
      <c r="L4" t="s">
        <v>8</v>
      </c>
      <c r="M4" t="s">
        <v>9</v>
      </c>
      <c r="N4" t="s">
        <v>10</v>
      </c>
      <c r="O4" t="s">
        <v>11</v>
      </c>
      <c r="P4" t="s">
        <v>12</v>
      </c>
      <c r="Q4" t="s">
        <v>173</v>
      </c>
      <c r="R4" t="s">
        <v>174</v>
      </c>
    </row>
    <row r="5" spans="1:18">
      <c r="A5" t="s">
        <v>35</v>
      </c>
      <c r="B5">
        <v>2022</v>
      </c>
      <c r="C5" t="s">
        <v>41</v>
      </c>
      <c r="D5">
        <v>5</v>
      </c>
      <c r="E5" s="1">
        <v>44682</v>
      </c>
      <c r="F5">
        <v>173.3</v>
      </c>
      <c r="G5">
        <v>154.1</v>
      </c>
      <c r="H5">
        <v>217</v>
      </c>
      <c r="I5">
        <v>162.4</v>
      </c>
      <c r="J5">
        <v>164.9</v>
      </c>
      <c r="K5">
        <v>202.4</v>
      </c>
      <c r="L5">
        <v>171</v>
      </c>
      <c r="M5">
        <v>174.9</v>
      </c>
      <c r="N5">
        <v>164.7</v>
      </c>
      <c r="O5">
        <v>119.7</v>
      </c>
      <c r="P5">
        <v>184.9</v>
      </c>
      <c r="Q5">
        <v>167.1</v>
      </c>
      <c r="R5">
        <v>182.5</v>
      </c>
    </row>
    <row r="6" spans="1:18">
      <c r="A6" t="s">
        <v>35</v>
      </c>
      <c r="B6">
        <v>2022</v>
      </c>
      <c r="C6" t="s">
        <v>42</v>
      </c>
      <c r="D6">
        <v>6</v>
      </c>
      <c r="E6" s="1">
        <v>44713</v>
      </c>
      <c r="F6">
        <v>174.9</v>
      </c>
      <c r="G6">
        <v>155</v>
      </c>
      <c r="H6">
        <v>219.4</v>
      </c>
      <c r="I6">
        <v>170.8</v>
      </c>
      <c r="J6">
        <v>165.8</v>
      </c>
      <c r="K6">
        <v>200.9</v>
      </c>
      <c r="L6">
        <v>169.7</v>
      </c>
      <c r="M6">
        <v>182.3</v>
      </c>
      <c r="N6">
        <v>164.3</v>
      </c>
      <c r="O6">
        <v>119.9</v>
      </c>
      <c r="P6">
        <v>187.1</v>
      </c>
      <c r="Q6">
        <v>167.9</v>
      </c>
      <c r="R6">
        <v>183.9</v>
      </c>
    </row>
    <row r="7" spans="1:18">
      <c r="A7" t="s">
        <v>35</v>
      </c>
      <c r="B7">
        <v>2022</v>
      </c>
      <c r="C7" t="s">
        <v>44</v>
      </c>
      <c r="D7">
        <v>7</v>
      </c>
      <c r="E7" s="1">
        <v>44743</v>
      </c>
      <c r="F7">
        <v>175</v>
      </c>
      <c r="G7">
        <v>156.5</v>
      </c>
      <c r="H7">
        <v>213</v>
      </c>
      <c r="I7">
        <v>175.2</v>
      </c>
      <c r="J7">
        <v>166.6</v>
      </c>
      <c r="K7">
        <v>195.8</v>
      </c>
      <c r="L7">
        <v>174.2</v>
      </c>
      <c r="M7">
        <v>182.1</v>
      </c>
      <c r="N7">
        <v>164.3</v>
      </c>
      <c r="O7">
        <v>120</v>
      </c>
      <c r="P7">
        <v>190</v>
      </c>
      <c r="Q7">
        <v>168.4</v>
      </c>
      <c r="R7">
        <v>185.2</v>
      </c>
    </row>
    <row r="8" spans="1:18">
      <c r="A8" t="s">
        <v>35</v>
      </c>
      <c r="B8">
        <v>2022</v>
      </c>
      <c r="C8" t="s">
        <v>46</v>
      </c>
      <c r="D8">
        <v>8</v>
      </c>
      <c r="E8" s="1">
        <v>44774</v>
      </c>
      <c r="F8">
        <v>176.3</v>
      </c>
      <c r="G8">
        <v>160.30000000000001</v>
      </c>
      <c r="H8">
        <v>206.5</v>
      </c>
      <c r="I8">
        <v>169.2</v>
      </c>
      <c r="J8">
        <v>168.1</v>
      </c>
      <c r="K8">
        <v>192.4</v>
      </c>
      <c r="L8">
        <v>172.9</v>
      </c>
      <c r="M8">
        <v>186.7</v>
      </c>
      <c r="N8">
        <v>167.2</v>
      </c>
      <c r="O8">
        <v>120.9</v>
      </c>
      <c r="P8">
        <v>193.6</v>
      </c>
      <c r="Q8">
        <v>168.8</v>
      </c>
      <c r="R8">
        <v>186.3</v>
      </c>
    </row>
    <row r="9" spans="1:18">
      <c r="A9" t="s">
        <v>35</v>
      </c>
      <c r="B9">
        <v>2022</v>
      </c>
      <c r="C9" t="s">
        <v>48</v>
      </c>
      <c r="D9">
        <v>9</v>
      </c>
      <c r="E9" s="1">
        <v>44805</v>
      </c>
      <c r="F9">
        <v>177.8</v>
      </c>
      <c r="G9">
        <v>163.5</v>
      </c>
      <c r="H9">
        <v>209.2</v>
      </c>
      <c r="I9">
        <v>169.7</v>
      </c>
      <c r="J9">
        <v>169.7</v>
      </c>
      <c r="K9">
        <v>188.7</v>
      </c>
      <c r="L9">
        <v>165.7</v>
      </c>
      <c r="M9">
        <v>191.8</v>
      </c>
      <c r="N9">
        <v>169.1</v>
      </c>
      <c r="O9">
        <v>121.6</v>
      </c>
      <c r="P9">
        <v>197.3</v>
      </c>
      <c r="Q9">
        <v>169.4</v>
      </c>
      <c r="R9">
        <v>187.4</v>
      </c>
    </row>
    <row r="10" spans="1:18">
      <c r="A10" t="s">
        <v>35</v>
      </c>
      <c r="B10">
        <v>2022</v>
      </c>
      <c r="C10" t="s">
        <v>50</v>
      </c>
      <c r="D10">
        <v>10</v>
      </c>
      <c r="E10" s="1">
        <v>44835</v>
      </c>
      <c r="F10">
        <v>179.6</v>
      </c>
      <c r="G10">
        <v>165.2</v>
      </c>
      <c r="H10">
        <v>210.9</v>
      </c>
      <c r="I10">
        <v>170.9</v>
      </c>
      <c r="J10">
        <v>170.9</v>
      </c>
      <c r="K10">
        <v>186.5</v>
      </c>
      <c r="L10">
        <v>163.80000000000001</v>
      </c>
      <c r="M10">
        <v>199.7</v>
      </c>
      <c r="N10">
        <v>169.8</v>
      </c>
      <c r="O10">
        <v>121.9</v>
      </c>
      <c r="P10">
        <v>199.9</v>
      </c>
      <c r="Q10">
        <v>169.9</v>
      </c>
      <c r="R10">
        <v>188.3</v>
      </c>
    </row>
    <row r="11" spans="1:18">
      <c r="A11" t="s">
        <v>35</v>
      </c>
      <c r="B11">
        <v>2022</v>
      </c>
      <c r="C11" t="s">
        <v>53</v>
      </c>
      <c r="D11">
        <v>11</v>
      </c>
      <c r="E11" s="1">
        <v>44866</v>
      </c>
      <c r="F11">
        <v>178.3</v>
      </c>
      <c r="G11">
        <v>167.4</v>
      </c>
      <c r="H11">
        <v>209.4</v>
      </c>
      <c r="I11">
        <v>181.4</v>
      </c>
      <c r="J11">
        <v>172.3</v>
      </c>
      <c r="K11">
        <v>188.9</v>
      </c>
      <c r="L11">
        <v>160.69999999999999</v>
      </c>
      <c r="M11">
        <v>183.1</v>
      </c>
      <c r="N11">
        <v>170.5</v>
      </c>
      <c r="O11">
        <v>122.1</v>
      </c>
      <c r="P11">
        <v>202.8</v>
      </c>
      <c r="Q11">
        <v>170.4</v>
      </c>
      <c r="R11">
        <v>189.5</v>
      </c>
    </row>
    <row r="12" spans="1:18">
      <c r="A12" t="s">
        <v>35</v>
      </c>
      <c r="B12">
        <v>2022</v>
      </c>
      <c r="C12" t="s">
        <v>55</v>
      </c>
      <c r="D12">
        <v>12</v>
      </c>
      <c r="E12" s="1">
        <v>44896</v>
      </c>
      <c r="F12">
        <v>175.9</v>
      </c>
      <c r="G12">
        <v>169.2</v>
      </c>
      <c r="H12">
        <v>209</v>
      </c>
      <c r="I12">
        <v>190.2</v>
      </c>
      <c r="J12">
        <v>173.6</v>
      </c>
      <c r="K12">
        <v>188.5</v>
      </c>
      <c r="L12">
        <v>158</v>
      </c>
      <c r="M12">
        <v>159.9</v>
      </c>
      <c r="N12">
        <v>170.8</v>
      </c>
      <c r="O12">
        <v>121.8</v>
      </c>
      <c r="P12">
        <v>205.2</v>
      </c>
      <c r="Q12">
        <v>171</v>
      </c>
      <c r="R12">
        <v>190.3</v>
      </c>
    </row>
    <row r="13" spans="1:18">
      <c r="A13" t="s">
        <v>35</v>
      </c>
      <c r="B13">
        <v>2023</v>
      </c>
      <c r="C13" t="s">
        <v>31</v>
      </c>
      <c r="D13">
        <v>1</v>
      </c>
      <c r="E13" s="1">
        <v>44927</v>
      </c>
      <c r="F13">
        <v>176.7</v>
      </c>
      <c r="G13">
        <v>173.8</v>
      </c>
      <c r="H13">
        <v>210.7</v>
      </c>
      <c r="I13">
        <v>194.5</v>
      </c>
      <c r="J13">
        <v>174.6</v>
      </c>
      <c r="K13">
        <v>187.2</v>
      </c>
      <c r="L13">
        <v>158.30000000000001</v>
      </c>
      <c r="M13">
        <v>153.9</v>
      </c>
      <c r="N13">
        <v>170.9</v>
      </c>
      <c r="O13">
        <v>121.1</v>
      </c>
      <c r="P13">
        <v>208.4</v>
      </c>
      <c r="Q13">
        <v>171.4</v>
      </c>
      <c r="R13">
        <v>191.2</v>
      </c>
    </row>
    <row r="14" spans="1:18">
      <c r="A14" t="s">
        <v>35</v>
      </c>
      <c r="B14">
        <v>2023</v>
      </c>
      <c r="C14" t="s">
        <v>36</v>
      </c>
      <c r="D14">
        <v>2</v>
      </c>
      <c r="E14" s="1">
        <v>44958</v>
      </c>
      <c r="F14">
        <v>177</v>
      </c>
      <c r="G14">
        <v>174.4</v>
      </c>
      <c r="H14">
        <v>207.7</v>
      </c>
      <c r="I14">
        <v>175.2</v>
      </c>
      <c r="J14">
        <v>177.3</v>
      </c>
      <c r="K14">
        <v>179.3</v>
      </c>
      <c r="L14">
        <v>169.5</v>
      </c>
      <c r="M14">
        <v>152.69999999999999</v>
      </c>
      <c r="N14">
        <v>171</v>
      </c>
      <c r="O14">
        <v>120</v>
      </c>
      <c r="P14">
        <v>209.7</v>
      </c>
      <c r="Q14">
        <v>172.3</v>
      </c>
      <c r="R14">
        <v>193</v>
      </c>
    </row>
    <row r="15" spans="1:18">
      <c r="A15" t="s">
        <v>35</v>
      </c>
      <c r="B15">
        <v>2023</v>
      </c>
      <c r="C15" t="s">
        <v>38</v>
      </c>
      <c r="D15">
        <v>3</v>
      </c>
      <c r="E15" s="1">
        <v>44986</v>
      </c>
      <c r="F15">
        <v>177</v>
      </c>
      <c r="G15">
        <v>174.4</v>
      </c>
      <c r="H15">
        <v>207.7</v>
      </c>
      <c r="I15">
        <v>175.2</v>
      </c>
      <c r="J15">
        <v>177.3</v>
      </c>
      <c r="K15">
        <v>179.2</v>
      </c>
      <c r="L15">
        <v>169.5</v>
      </c>
      <c r="M15">
        <v>152.80000000000001</v>
      </c>
      <c r="N15">
        <v>171.1</v>
      </c>
      <c r="O15">
        <v>120</v>
      </c>
      <c r="P15">
        <v>209.7</v>
      </c>
      <c r="Q15">
        <v>172.3</v>
      </c>
      <c r="R15">
        <v>193</v>
      </c>
    </row>
    <row r="16" spans="1:18">
      <c r="A16" t="s">
        <v>35</v>
      </c>
      <c r="B16">
        <v>2023</v>
      </c>
      <c r="C16" t="s">
        <v>39</v>
      </c>
      <c r="D16">
        <v>4</v>
      </c>
      <c r="E16" s="1">
        <v>45017</v>
      </c>
      <c r="F16">
        <v>177.9</v>
      </c>
      <c r="G16">
        <v>173.8</v>
      </c>
      <c r="H16">
        <v>209.3</v>
      </c>
      <c r="I16">
        <v>169.6</v>
      </c>
      <c r="J16">
        <v>178.4</v>
      </c>
      <c r="K16">
        <v>174.9</v>
      </c>
      <c r="L16">
        <v>176.3</v>
      </c>
      <c r="M16">
        <v>155.4</v>
      </c>
      <c r="N16">
        <v>173.4</v>
      </c>
      <c r="O16">
        <v>121.3</v>
      </c>
      <c r="P16">
        <v>212.9</v>
      </c>
      <c r="Q16">
        <v>172.9</v>
      </c>
      <c r="R16">
        <v>193.5</v>
      </c>
    </row>
    <row r="17" spans="1:18">
      <c r="A17" t="s">
        <v>35</v>
      </c>
      <c r="B17">
        <v>2023</v>
      </c>
      <c r="C17" t="s">
        <v>41</v>
      </c>
      <c r="D17">
        <v>5</v>
      </c>
      <c r="E17" s="1">
        <v>45047</v>
      </c>
      <c r="F17">
        <v>179.1</v>
      </c>
      <c r="G17">
        <v>173.7</v>
      </c>
      <c r="H17">
        <v>214.3</v>
      </c>
      <c r="I17">
        <v>173.2</v>
      </c>
      <c r="J17">
        <v>179.5</v>
      </c>
      <c r="K17">
        <v>170</v>
      </c>
      <c r="L17">
        <v>172.2</v>
      </c>
      <c r="M17">
        <v>161</v>
      </c>
      <c r="N17">
        <v>175.6</v>
      </c>
      <c r="O17">
        <v>122.7</v>
      </c>
      <c r="P17">
        <v>218</v>
      </c>
      <c r="Q17">
        <v>173.4</v>
      </c>
      <c r="R17">
        <v>194.2</v>
      </c>
    </row>
    <row r="21" spans="1:18">
      <c r="D21" s="24"/>
    </row>
    <row r="22" spans="1:18">
      <c r="A22" s="56" t="s">
        <v>175</v>
      </c>
      <c r="B22" s="57" t="s">
        <v>176</v>
      </c>
      <c r="C22" s="25"/>
      <c r="I22" s="44" t="s">
        <v>177</v>
      </c>
      <c r="J22" s="45" t="s">
        <v>178</v>
      </c>
      <c r="K22" s="45" t="s">
        <v>179</v>
      </c>
      <c r="L22" s="44" t="s">
        <v>180</v>
      </c>
      <c r="M22" s="44" t="s">
        <v>181</v>
      </c>
    </row>
    <row r="23" spans="1:18">
      <c r="A23" s="41">
        <v>44713</v>
      </c>
      <c r="B23" s="4">
        <f>(F6-F5)/F5</f>
        <v>9.2325447201384546E-3</v>
      </c>
      <c r="I23" s="53" t="s">
        <v>3</v>
      </c>
      <c r="J23" s="26">
        <v>155</v>
      </c>
      <c r="K23" s="27">
        <v>173.7</v>
      </c>
      <c r="L23" s="52">
        <f>K23-J23</f>
        <v>18.699999999999989</v>
      </c>
      <c r="M23" s="28">
        <f>L23/J23</f>
        <v>0.1206451612903225</v>
      </c>
    </row>
    <row r="24" spans="1:18">
      <c r="A24" s="55">
        <v>44743</v>
      </c>
      <c r="B24" s="4">
        <f>(F7-F6)/F6</f>
        <v>5.7175528873638828E-4</v>
      </c>
      <c r="I24" s="46" t="s">
        <v>4</v>
      </c>
      <c r="J24" s="26">
        <v>219.4</v>
      </c>
      <c r="K24" s="43">
        <v>214.3</v>
      </c>
      <c r="L24" s="26">
        <f t="shared" ref="L24:L34" si="0">K24-J24</f>
        <v>-5.0999999999999943</v>
      </c>
      <c r="M24" s="28">
        <f t="shared" ref="M24:M34" si="1">L24/J24</f>
        <v>-2.3245214220601614E-2</v>
      </c>
    </row>
    <row r="25" spans="1:18">
      <c r="A25" s="42">
        <v>44774</v>
      </c>
      <c r="B25" s="4">
        <f>(F8-F7)/F7</f>
        <v>7.4285714285714935E-3</v>
      </c>
      <c r="I25" s="54" t="s">
        <v>5</v>
      </c>
      <c r="J25" s="26">
        <v>170.8</v>
      </c>
      <c r="K25" s="29">
        <v>173.2</v>
      </c>
      <c r="L25" s="26">
        <f t="shared" si="0"/>
        <v>2.3999999999999773</v>
      </c>
      <c r="M25" s="28">
        <f t="shared" si="1"/>
        <v>1.4051522248243426E-2</v>
      </c>
    </row>
    <row r="26" spans="1:18">
      <c r="A26" s="55">
        <v>44805</v>
      </c>
      <c r="B26" s="4">
        <f>(F9-F8)/F8</f>
        <v>8.5082246171298923E-3</v>
      </c>
      <c r="I26" s="46" t="s">
        <v>6</v>
      </c>
      <c r="J26" s="26">
        <v>165.8</v>
      </c>
      <c r="K26" s="43">
        <v>179.5</v>
      </c>
      <c r="L26" s="26">
        <f t="shared" si="0"/>
        <v>13.699999999999989</v>
      </c>
      <c r="M26" s="28">
        <f t="shared" si="1"/>
        <v>8.2629674306393175E-2</v>
      </c>
    </row>
    <row r="27" spans="1:18">
      <c r="A27" s="42">
        <v>44835</v>
      </c>
      <c r="B27" s="4">
        <f>(F10-F9)/F9</f>
        <v>1.0123734533183255E-2</v>
      </c>
      <c r="I27" s="54" t="s">
        <v>7</v>
      </c>
      <c r="J27" s="26">
        <v>200.9</v>
      </c>
      <c r="K27" s="29">
        <v>170</v>
      </c>
      <c r="L27" s="26">
        <f t="shared" si="0"/>
        <v>-30.900000000000006</v>
      </c>
      <c r="M27" s="28">
        <f t="shared" si="1"/>
        <v>-0.15380786460925835</v>
      </c>
    </row>
    <row r="28" spans="1:18">
      <c r="A28" s="55">
        <v>44866</v>
      </c>
      <c r="B28" s="4">
        <f>(F11-F10)/F10</f>
        <v>-7.2383073496658295E-3</v>
      </c>
      <c r="I28" s="46" t="s">
        <v>8</v>
      </c>
      <c r="J28" s="26">
        <v>169.7</v>
      </c>
      <c r="K28" s="43">
        <v>172.2</v>
      </c>
      <c r="L28" s="26">
        <f t="shared" si="0"/>
        <v>2.5</v>
      </c>
      <c r="M28" s="28">
        <f t="shared" si="1"/>
        <v>1.4731879787860933E-2</v>
      </c>
    </row>
    <row r="29" spans="1:18">
      <c r="A29" s="42">
        <v>44896</v>
      </c>
      <c r="B29" s="4">
        <f>(F12-F11)/F11</f>
        <v>-1.3460459899046581E-2</v>
      </c>
      <c r="I29" s="54" t="s">
        <v>9</v>
      </c>
      <c r="J29" s="26">
        <v>182.3</v>
      </c>
      <c r="K29" s="29">
        <v>161</v>
      </c>
      <c r="L29" s="26">
        <f t="shared" si="0"/>
        <v>-21.300000000000011</v>
      </c>
      <c r="M29" s="28">
        <f t="shared" si="1"/>
        <v>-0.11684037301151953</v>
      </c>
    </row>
    <row r="30" spans="1:18">
      <c r="A30" s="55">
        <v>44927</v>
      </c>
      <c r="B30" s="4">
        <f>(F13-F12)/F12</f>
        <v>4.5480386583284984E-3</v>
      </c>
      <c r="I30" s="46" t="s">
        <v>10</v>
      </c>
      <c r="J30" s="26">
        <v>164.3</v>
      </c>
      <c r="K30" s="43">
        <v>175.6</v>
      </c>
      <c r="L30" s="26">
        <f t="shared" si="0"/>
        <v>11.299999999999983</v>
      </c>
      <c r="M30" s="28">
        <f t="shared" si="1"/>
        <v>6.8776628119293873E-2</v>
      </c>
    </row>
    <row r="31" spans="1:18">
      <c r="A31" s="42">
        <v>44958</v>
      </c>
      <c r="B31" s="4">
        <f>(F14-F13)/F13</f>
        <v>1.6977928692700134E-3</v>
      </c>
      <c r="I31" s="54" t="s">
        <v>11</v>
      </c>
      <c r="J31" s="26">
        <v>119.9</v>
      </c>
      <c r="K31" s="29">
        <v>122.7</v>
      </c>
      <c r="L31" s="26">
        <f t="shared" si="0"/>
        <v>2.7999999999999972</v>
      </c>
      <c r="M31" s="28">
        <f t="shared" si="1"/>
        <v>2.3352793994995805E-2</v>
      </c>
    </row>
    <row r="32" spans="1:18">
      <c r="A32" s="55">
        <v>44986</v>
      </c>
      <c r="B32" s="4">
        <f>(F15-F14)/F14</f>
        <v>0</v>
      </c>
      <c r="I32" s="46" t="s">
        <v>12</v>
      </c>
      <c r="J32" s="26">
        <v>187.1</v>
      </c>
      <c r="K32" s="43">
        <v>218</v>
      </c>
      <c r="L32" s="26">
        <f t="shared" si="0"/>
        <v>30.900000000000006</v>
      </c>
      <c r="M32" s="28">
        <f t="shared" si="1"/>
        <v>0.16515232495991453</v>
      </c>
    </row>
    <row r="33" spans="1:13">
      <c r="A33" s="42">
        <v>45017</v>
      </c>
      <c r="B33" s="4">
        <f>(F16-F15)/F15</f>
        <v>5.0847457627118961E-3</v>
      </c>
      <c r="I33" s="54" t="s">
        <v>173</v>
      </c>
      <c r="J33" s="26">
        <v>167.9</v>
      </c>
      <c r="K33" s="30">
        <v>173.4</v>
      </c>
      <c r="L33" s="26">
        <f t="shared" si="0"/>
        <v>5.5</v>
      </c>
      <c r="M33" s="31">
        <f t="shared" si="1"/>
        <v>3.2757593805836809E-2</v>
      </c>
    </row>
    <row r="34" spans="1:13">
      <c r="A34" s="55">
        <v>45047</v>
      </c>
      <c r="B34" s="4">
        <f>(F17-F16)/F16</f>
        <v>6.7453625632377095E-3</v>
      </c>
      <c r="I34" s="47" t="s">
        <v>174</v>
      </c>
      <c r="J34" s="48">
        <v>183.9</v>
      </c>
      <c r="K34" s="49">
        <v>194.2</v>
      </c>
      <c r="L34" s="50">
        <f t="shared" si="0"/>
        <v>10.299999999999983</v>
      </c>
      <c r="M34" s="51">
        <f t="shared" si="1"/>
        <v>5.6008700380641561E-2</v>
      </c>
    </row>
  </sheetData>
  <pageMargins left="0.7" right="0.7" top="0.75" bottom="0.75" header="0.3" footer="0.3"/>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8658C-1E96-48C5-BBCC-25B423F868D3}">
  <dimension ref="A4:U53"/>
  <sheetViews>
    <sheetView topLeftCell="A44" workbookViewId="0">
      <selection activeCell="G84" sqref="G84"/>
    </sheetView>
  </sheetViews>
  <sheetFormatPr defaultRowHeight="14.45"/>
  <cols>
    <col min="1" max="1" width="11.140625" bestFit="1" customWidth="1"/>
    <col min="2" max="2" width="6.85546875" bestFit="1" customWidth="1"/>
    <col min="3" max="3" width="9.7109375" bestFit="1" customWidth="1"/>
    <col min="4" max="4" width="39.28515625" bestFit="1" customWidth="1"/>
    <col min="5" max="5" width="15.5703125" bestFit="1" customWidth="1"/>
    <col min="6" max="6" width="11.7109375" bestFit="1" customWidth="1"/>
    <col min="7" max="7" width="10.7109375" bestFit="1" customWidth="1"/>
    <col min="8" max="8" width="10.5703125" bestFit="1" customWidth="1"/>
    <col min="9" max="9" width="31.5703125" style="4" bestFit="1" customWidth="1"/>
    <col min="10" max="10" width="36.140625" bestFit="1" customWidth="1"/>
    <col min="11" max="11" width="27.7109375" bestFit="1" customWidth="1"/>
    <col min="12" max="12" width="15.5703125" style="4" bestFit="1" customWidth="1"/>
    <col min="13" max="14" width="15.5703125" bestFit="1" customWidth="1"/>
    <col min="15" max="15" width="15.5703125" style="4" bestFit="1" customWidth="1"/>
    <col min="16" max="17" width="15.5703125" bestFit="1" customWidth="1"/>
    <col min="18" max="18" width="15.5703125" style="4" bestFit="1" customWidth="1"/>
    <col min="19" max="20" width="15.5703125" bestFit="1" customWidth="1"/>
    <col min="21" max="21" width="15.5703125" style="4" bestFit="1" customWidth="1"/>
    <col min="22" max="29" width="15.5703125" bestFit="1" customWidth="1"/>
    <col min="30" max="30" width="10.5703125" bestFit="1" customWidth="1"/>
  </cols>
  <sheetData>
    <row r="4" spans="1:21">
      <c r="A4" t="s">
        <v>0</v>
      </c>
      <c r="B4" t="s">
        <v>1</v>
      </c>
      <c r="C4" t="s">
        <v>2</v>
      </c>
      <c r="D4" t="s">
        <v>165</v>
      </c>
      <c r="E4" t="s">
        <v>166</v>
      </c>
      <c r="F4" t="s">
        <v>182</v>
      </c>
      <c r="G4" t="s">
        <v>15</v>
      </c>
      <c r="H4" t="s">
        <v>183</v>
      </c>
      <c r="I4" s="4" t="s">
        <v>184</v>
      </c>
      <c r="J4" t="s">
        <v>21</v>
      </c>
      <c r="K4" t="s">
        <v>185</v>
      </c>
      <c r="L4" s="4" t="s">
        <v>186</v>
      </c>
      <c r="M4" t="s">
        <v>23</v>
      </c>
      <c r="N4" t="s">
        <v>187</v>
      </c>
      <c r="O4" s="4" t="s">
        <v>188</v>
      </c>
      <c r="P4" t="s">
        <v>24</v>
      </c>
      <c r="Q4" t="s">
        <v>189</v>
      </c>
      <c r="R4" s="4" t="s">
        <v>190</v>
      </c>
      <c r="S4" t="s">
        <v>29</v>
      </c>
      <c r="T4" t="s">
        <v>191</v>
      </c>
      <c r="U4" s="4" t="s">
        <v>192</v>
      </c>
    </row>
    <row r="5" spans="1:21" hidden="1">
      <c r="A5" t="s">
        <v>35</v>
      </c>
      <c r="B5">
        <v>2018</v>
      </c>
      <c r="C5" t="s">
        <v>31</v>
      </c>
      <c r="D5">
        <v>1</v>
      </c>
      <c r="E5" s="1">
        <v>43101</v>
      </c>
      <c r="F5" t="s">
        <v>193</v>
      </c>
      <c r="G5">
        <v>139.19999999999999</v>
      </c>
      <c r="J5">
        <v>136.6</v>
      </c>
      <c r="M5">
        <v>133.30000000000001</v>
      </c>
      <c r="P5">
        <v>119.3</v>
      </c>
      <c r="S5">
        <v>136.9</v>
      </c>
    </row>
    <row r="6" spans="1:21" hidden="1">
      <c r="A6" t="s">
        <v>35</v>
      </c>
      <c r="B6">
        <v>2018</v>
      </c>
      <c r="C6" t="s">
        <v>36</v>
      </c>
      <c r="D6">
        <v>2</v>
      </c>
      <c r="E6" s="1">
        <v>43132</v>
      </c>
      <c r="F6" t="s">
        <v>193</v>
      </c>
      <c r="G6">
        <v>137.6</v>
      </c>
      <c r="J6">
        <v>136.69999999999999</v>
      </c>
      <c r="M6">
        <v>133.80000000000001</v>
      </c>
      <c r="P6">
        <v>120.2</v>
      </c>
      <c r="S6">
        <v>136.4</v>
      </c>
    </row>
    <row r="7" spans="1:21" hidden="1">
      <c r="A7" t="s">
        <v>35</v>
      </c>
      <c r="B7">
        <v>2018</v>
      </c>
      <c r="C7" t="s">
        <v>38</v>
      </c>
      <c r="D7">
        <v>3</v>
      </c>
      <c r="E7" s="1">
        <v>43160</v>
      </c>
      <c r="F7" t="s">
        <v>193</v>
      </c>
      <c r="G7">
        <v>137.19999999999999</v>
      </c>
      <c r="J7">
        <v>136.5</v>
      </c>
      <c r="M7">
        <v>134.30000000000001</v>
      </c>
      <c r="P7">
        <v>121</v>
      </c>
      <c r="S7">
        <v>136.5</v>
      </c>
    </row>
    <row r="8" spans="1:21" hidden="1">
      <c r="A8" t="s">
        <v>35</v>
      </c>
      <c r="B8">
        <v>2018</v>
      </c>
      <c r="C8" t="s">
        <v>39</v>
      </c>
      <c r="D8">
        <v>4</v>
      </c>
      <c r="E8" s="1">
        <v>43191</v>
      </c>
      <c r="F8" t="s">
        <v>193</v>
      </c>
      <c r="G8">
        <v>137.5</v>
      </c>
      <c r="J8">
        <v>136.5</v>
      </c>
      <c r="M8">
        <v>135.19999999999999</v>
      </c>
      <c r="P8">
        <v>121.9</v>
      </c>
      <c r="S8">
        <v>137.1</v>
      </c>
    </row>
    <row r="9" spans="1:21" hidden="1">
      <c r="A9" t="s">
        <v>35</v>
      </c>
      <c r="B9">
        <v>2018</v>
      </c>
      <c r="C9" t="s">
        <v>41</v>
      </c>
      <c r="D9">
        <v>5</v>
      </c>
      <c r="E9" s="1">
        <v>43221</v>
      </c>
      <c r="F9" t="s">
        <v>193</v>
      </c>
      <c r="G9">
        <v>138.1</v>
      </c>
      <c r="J9">
        <v>136.9</v>
      </c>
      <c r="M9">
        <v>136</v>
      </c>
      <c r="P9">
        <v>122.9</v>
      </c>
      <c r="S9">
        <v>137.80000000000001</v>
      </c>
    </row>
    <row r="10" spans="1:21" hidden="1">
      <c r="A10" t="s">
        <v>35</v>
      </c>
      <c r="B10">
        <v>2018</v>
      </c>
      <c r="C10" t="s">
        <v>42</v>
      </c>
      <c r="D10">
        <v>6</v>
      </c>
      <c r="E10" s="1">
        <v>43252</v>
      </c>
      <c r="F10" t="s">
        <v>193</v>
      </c>
      <c r="G10">
        <v>139.4</v>
      </c>
      <c r="J10">
        <v>138.1</v>
      </c>
      <c r="M10">
        <v>136.19999999999999</v>
      </c>
      <c r="P10">
        <v>123.7</v>
      </c>
      <c r="S10">
        <v>138.5</v>
      </c>
    </row>
    <row r="11" spans="1:21" hidden="1">
      <c r="A11" t="s">
        <v>35</v>
      </c>
      <c r="B11">
        <v>2018</v>
      </c>
      <c r="C11" t="s">
        <v>44</v>
      </c>
      <c r="D11">
        <v>7</v>
      </c>
      <c r="E11" s="1">
        <v>43282</v>
      </c>
      <c r="F11" t="s">
        <v>193</v>
      </c>
      <c r="G11">
        <v>141.4</v>
      </c>
      <c r="J11">
        <v>139.69999999999999</v>
      </c>
      <c r="M11">
        <v>137</v>
      </c>
      <c r="P11">
        <v>123.6</v>
      </c>
      <c r="S11">
        <v>139.80000000000001</v>
      </c>
    </row>
    <row r="12" spans="1:21" hidden="1">
      <c r="A12" t="s">
        <v>35</v>
      </c>
      <c r="B12">
        <v>2018</v>
      </c>
      <c r="C12" t="s">
        <v>46</v>
      </c>
      <c r="D12">
        <v>8</v>
      </c>
      <c r="E12" s="1">
        <v>43313</v>
      </c>
      <c r="F12" t="s">
        <v>193</v>
      </c>
      <c r="G12">
        <v>141.69999999999999</v>
      </c>
      <c r="J12">
        <v>140.9</v>
      </c>
      <c r="M12">
        <v>137.69999999999999</v>
      </c>
      <c r="P12">
        <v>124.3</v>
      </c>
      <c r="S12">
        <v>140.4</v>
      </c>
    </row>
    <row r="13" spans="1:21" hidden="1">
      <c r="A13" t="s">
        <v>35</v>
      </c>
      <c r="B13">
        <v>2018</v>
      </c>
      <c r="C13" t="s">
        <v>48</v>
      </c>
      <c r="D13">
        <v>9</v>
      </c>
      <c r="E13" s="1">
        <v>43344</v>
      </c>
      <c r="F13" t="s">
        <v>193</v>
      </c>
      <c r="G13">
        <v>140.4</v>
      </c>
      <c r="J13">
        <v>142.30000000000001</v>
      </c>
      <c r="M13">
        <v>138.4</v>
      </c>
      <c r="P13">
        <v>126</v>
      </c>
      <c r="S13">
        <v>140.19999999999999</v>
      </c>
    </row>
    <row r="14" spans="1:21" hidden="1">
      <c r="A14" t="s">
        <v>35</v>
      </c>
      <c r="B14">
        <v>2018</v>
      </c>
      <c r="C14" t="s">
        <v>50</v>
      </c>
      <c r="D14">
        <v>10</v>
      </c>
      <c r="E14" s="1">
        <v>43374</v>
      </c>
      <c r="F14" t="s">
        <v>193</v>
      </c>
      <c r="G14">
        <v>139.69999999999999</v>
      </c>
      <c r="J14">
        <v>145.30000000000001</v>
      </c>
      <c r="M14">
        <v>142.1</v>
      </c>
      <c r="P14">
        <v>125.5</v>
      </c>
      <c r="S14">
        <v>140.80000000000001</v>
      </c>
    </row>
    <row r="15" spans="1:21" hidden="1">
      <c r="A15" t="s">
        <v>35</v>
      </c>
      <c r="B15">
        <v>2018</v>
      </c>
      <c r="C15" t="s">
        <v>53</v>
      </c>
      <c r="D15">
        <v>11</v>
      </c>
      <c r="E15" s="1">
        <v>43405</v>
      </c>
      <c r="F15" t="s">
        <v>193</v>
      </c>
      <c r="G15">
        <v>139.69999999999999</v>
      </c>
      <c r="J15">
        <v>145.1</v>
      </c>
      <c r="M15">
        <v>142.1</v>
      </c>
      <c r="P15">
        <v>125.5</v>
      </c>
      <c r="S15">
        <v>140.80000000000001</v>
      </c>
    </row>
    <row r="16" spans="1:21" hidden="1">
      <c r="A16" t="s">
        <v>35</v>
      </c>
      <c r="B16">
        <v>2018</v>
      </c>
      <c r="C16" t="s">
        <v>55</v>
      </c>
      <c r="D16">
        <v>12</v>
      </c>
      <c r="E16" s="1">
        <v>43435</v>
      </c>
      <c r="F16" t="s">
        <v>193</v>
      </c>
      <c r="G16">
        <v>138.19999999999999</v>
      </c>
      <c r="J16">
        <v>142.69999999999999</v>
      </c>
      <c r="M16">
        <v>144.9</v>
      </c>
      <c r="P16">
        <v>123.6</v>
      </c>
      <c r="S16">
        <v>140.1</v>
      </c>
    </row>
    <row r="17" spans="1:21" hidden="1">
      <c r="A17" t="s">
        <v>35</v>
      </c>
      <c r="B17">
        <v>2019</v>
      </c>
      <c r="C17" t="s">
        <v>31</v>
      </c>
      <c r="D17">
        <v>1</v>
      </c>
      <c r="E17" s="1">
        <v>43466</v>
      </c>
      <c r="F17" t="s">
        <v>193</v>
      </c>
      <c r="G17">
        <v>137.4</v>
      </c>
      <c r="J17">
        <v>139.5</v>
      </c>
      <c r="M17">
        <v>145.1</v>
      </c>
      <c r="P17">
        <v>123.3</v>
      </c>
      <c r="S17">
        <v>139.6</v>
      </c>
    </row>
    <row r="18" spans="1:21" hidden="1">
      <c r="A18" t="s">
        <v>35</v>
      </c>
      <c r="B18">
        <v>2019</v>
      </c>
      <c r="C18" t="s">
        <v>36</v>
      </c>
      <c r="D18">
        <v>2</v>
      </c>
      <c r="E18" s="1">
        <v>43497</v>
      </c>
      <c r="F18" t="s">
        <v>193</v>
      </c>
      <c r="G18">
        <v>137.5</v>
      </c>
      <c r="J18">
        <v>138.4</v>
      </c>
      <c r="M18">
        <v>145.6</v>
      </c>
      <c r="P18">
        <v>123.9</v>
      </c>
      <c r="S18">
        <v>139.9</v>
      </c>
    </row>
    <row r="19" spans="1:21">
      <c r="A19" t="s">
        <v>35</v>
      </c>
      <c r="B19">
        <v>2019</v>
      </c>
      <c r="C19" t="s">
        <v>38</v>
      </c>
      <c r="D19">
        <v>3</v>
      </c>
      <c r="E19" s="1">
        <v>43525</v>
      </c>
      <c r="F19" t="s">
        <v>193</v>
      </c>
      <c r="G19">
        <v>138.1</v>
      </c>
      <c r="H19" cm="1">
        <f t="array" ref="H19">_xlfn.XLOOKUP(1,($B$5:$B$43=B19-1)*($D$5:$D$43=D19),$G$5:$G$43,"")</f>
        <v>137.19999999999999</v>
      </c>
      <c r="I19" s="4">
        <f>IFERROR(((Analysis_4[[#This Row],[Food and beverages]]/Analysis_4[[#This Row],[PY Food and beverages ]])-1),"")</f>
        <v>6.5597667638483959E-3</v>
      </c>
      <c r="J19">
        <v>139.69999999999999</v>
      </c>
      <c r="K19" cm="1">
        <f t="array" ref="K19">_xlfn.XLOOKUP(1,($B$5:$B$43=B19-1)*($D$5:$D$43=D19),$J$5:$J$43,"")</f>
        <v>136.5</v>
      </c>
      <c r="L19" s="4">
        <f>IFERROR(((Analysis_4[[#This Row],[Fuel and light]]/Analysis_4[[#This Row],[PY Fuel and light]])-1),"")</f>
        <v>2.344322344322336E-2</v>
      </c>
      <c r="M19">
        <v>146.19999999999999</v>
      </c>
      <c r="N19" cm="1">
        <f t="array" ref="N19">_xlfn.XLOOKUP(1,($B$5:$B$43=B19-1)*($D$5:$D$43=D19),$M$5:$M$43,"")</f>
        <v>134.30000000000001</v>
      </c>
      <c r="O19" s="4">
        <f>IFERROR(((Analysis_4[[#This Row],[Health]]/Analysis_4[[#This Row],[PY Health]])-1),"")</f>
        <v>8.8607594936708667E-2</v>
      </c>
      <c r="P19">
        <v>124.6</v>
      </c>
      <c r="Q19" cm="1">
        <f t="array" ref="Q19">_xlfn.XLOOKUP(1,($B$5:$B$43=B19-1)*($D$5:$D$43=D19),$P$5:$P$43,"")</f>
        <v>121</v>
      </c>
      <c r="R19" s="4">
        <f>IFERROR(((Analysis_4[[#This Row],[Transport and communication]]/Analysis_4[[#This Row],[PY Transport and communication]])-1),"")</f>
        <v>2.9752066115702469E-2</v>
      </c>
      <c r="S19">
        <v>140.4</v>
      </c>
      <c r="T19" cm="1">
        <f t="array" ref="T19">_xlfn.XLOOKUP(1,($B$5:$B$43=B19-1)*($D$5:$D$43=D19),$S$5:$S$43,"")</f>
        <v>136.5</v>
      </c>
      <c r="U19" s="4">
        <f>IFERROR(((Analysis_4[[#This Row],[General index]]/Analysis_4[[#This Row],[PY General index]])-1),"")</f>
        <v>2.8571428571428692E-2</v>
      </c>
    </row>
    <row r="20" spans="1:21">
      <c r="A20" t="s">
        <v>35</v>
      </c>
      <c r="B20">
        <v>2019</v>
      </c>
      <c r="C20" t="s">
        <v>39</v>
      </c>
      <c r="D20">
        <v>4</v>
      </c>
      <c r="E20" s="1">
        <v>43556</v>
      </c>
      <c r="F20" t="s">
        <v>193</v>
      </c>
      <c r="G20">
        <v>139.5</v>
      </c>
      <c r="H20" cm="1">
        <f t="array" ref="H20">_xlfn.XLOOKUP(1,($B$5:$B$43=B20-1)*($D$5:$D$43=D20),$G$5:$G$43,"")</f>
        <v>137.5</v>
      </c>
      <c r="I20" s="4">
        <f>IFERROR(((Analysis_4[[#This Row],[Food and beverages]]/Analysis_4[[#This Row],[PY Food and beverages ]])-1),"")</f>
        <v>1.4545454545454639E-2</v>
      </c>
      <c r="J20">
        <v>140</v>
      </c>
      <c r="K20" cm="1">
        <f t="array" ref="K20">_xlfn.XLOOKUP(1,($B$5:$B$43=B20-1)*($D$5:$D$43=D20),$J$5:$J$43,"")</f>
        <v>136.5</v>
      </c>
      <c r="L20" s="4">
        <f>IFERROR(((Analysis_4[[#This Row],[Fuel and light]]/Analysis_4[[#This Row],[PY Fuel and light]])-1),"")</f>
        <v>2.564102564102555E-2</v>
      </c>
      <c r="M20">
        <v>146.6</v>
      </c>
      <c r="N20" cm="1">
        <f t="array" ref="N20">_xlfn.XLOOKUP(1,($B$5:$B$43=B20-1)*($D$5:$D$43=D20),$M$5:$M$43,"")</f>
        <v>135.19999999999999</v>
      </c>
      <c r="O20" s="4">
        <f>IFERROR(((Analysis_4[[#This Row],[Health]]/Analysis_4[[#This Row],[PY Health]])-1),"")</f>
        <v>8.4319526627218977E-2</v>
      </c>
      <c r="P20">
        <v>124.8</v>
      </c>
      <c r="Q20" cm="1">
        <f t="array" ref="Q20">_xlfn.XLOOKUP(1,($B$5:$B$43=B20-1)*($D$5:$D$43=D20),$P$5:$P$43,"")</f>
        <v>121.9</v>
      </c>
      <c r="R20" s="4">
        <f>IFERROR(((Analysis_4[[#This Row],[Transport and communication]]/Analysis_4[[#This Row],[PY Transport and communication]])-1),"")</f>
        <v>2.3789991796554499E-2</v>
      </c>
      <c r="S20">
        <v>141.19999999999999</v>
      </c>
      <c r="T20" cm="1">
        <f t="array" ref="T20">_xlfn.XLOOKUP(1,($B$5:$B$43=B20-1)*($D$5:$D$43=D20),$S$5:$S$43,"")</f>
        <v>137.1</v>
      </c>
      <c r="U20" s="4">
        <f>IFERROR(((Analysis_4[[#This Row],[General index]]/Analysis_4[[#This Row],[PY General index]])-1),"")</f>
        <v>2.9905178701677526E-2</v>
      </c>
    </row>
    <row r="21" spans="1:21">
      <c r="A21" t="s">
        <v>35</v>
      </c>
      <c r="B21">
        <v>2019</v>
      </c>
      <c r="C21" t="s">
        <v>41</v>
      </c>
      <c r="D21">
        <v>5</v>
      </c>
      <c r="E21" s="1">
        <v>43586</v>
      </c>
      <c r="F21" t="s">
        <v>193</v>
      </c>
      <c r="G21">
        <v>140.9</v>
      </c>
      <c r="H21" cm="1">
        <f t="array" ref="H21">_xlfn.XLOOKUP(1,($B$5:$B$43=B21-1)*($D$5:$D$43=D21),$G$5:$G$43,"")</f>
        <v>138.1</v>
      </c>
      <c r="I21" s="4">
        <f>IFERROR(((Analysis_4[[#This Row],[Food and beverages]]/Analysis_4[[#This Row],[PY Food and beverages ]])-1),"")</f>
        <v>2.0275162925416534E-2</v>
      </c>
      <c r="J21">
        <v>140.30000000000001</v>
      </c>
      <c r="K21" cm="1">
        <f t="array" ref="K21">_xlfn.XLOOKUP(1,($B$5:$B$43=B21-1)*($D$5:$D$43=D21),$J$5:$J$43,"")</f>
        <v>136.9</v>
      </c>
      <c r="L21" s="4">
        <f>IFERROR(((Analysis_4[[#This Row],[Fuel and light]]/Analysis_4[[#This Row],[PY Fuel and light]])-1),"")</f>
        <v>2.4835646457268101E-2</v>
      </c>
      <c r="M21">
        <v>146.9</v>
      </c>
      <c r="N21" cm="1">
        <f t="array" ref="N21">_xlfn.XLOOKUP(1,($B$5:$B$43=B21-1)*($D$5:$D$43=D21),$M$5:$M$43,"")</f>
        <v>136</v>
      </c>
      <c r="O21" s="4">
        <f>IFERROR(((Analysis_4[[#This Row],[Health]]/Analysis_4[[#This Row],[PY Health]])-1),"")</f>
        <v>8.0147058823529349E-2</v>
      </c>
      <c r="P21">
        <v>124.9</v>
      </c>
      <c r="Q21" cm="1">
        <f t="array" ref="Q21">_xlfn.XLOOKUP(1,($B$5:$B$43=B21-1)*($D$5:$D$43=D21),$P$5:$P$43,"")</f>
        <v>122.9</v>
      </c>
      <c r="R21" s="4">
        <f>IFERROR(((Analysis_4[[#This Row],[Transport and communication]]/Analysis_4[[#This Row],[PY Transport and communication]])-1),"")</f>
        <v>1.6273393002441017E-2</v>
      </c>
      <c r="S21">
        <v>142</v>
      </c>
      <c r="T21" cm="1">
        <f t="array" ref="T21">_xlfn.XLOOKUP(1,($B$5:$B$43=B21-1)*($D$5:$D$43=D21),$S$5:$S$43,"")</f>
        <v>137.80000000000001</v>
      </c>
      <c r="U21" s="4">
        <f>IFERROR(((Analysis_4[[#This Row],[General index]]/Analysis_4[[#This Row],[PY General index]])-1),"")</f>
        <v>3.0478955007256836E-2</v>
      </c>
    </row>
    <row r="22" spans="1:21">
      <c r="A22" t="s">
        <v>35</v>
      </c>
      <c r="B22">
        <v>2019</v>
      </c>
      <c r="C22" t="s">
        <v>42</v>
      </c>
      <c r="D22">
        <v>6</v>
      </c>
      <c r="E22" s="1">
        <v>43617</v>
      </c>
      <c r="F22" t="s">
        <v>193</v>
      </c>
      <c r="G22">
        <v>142.69999999999999</v>
      </c>
      <c r="H22" cm="1">
        <f t="array" ref="H22">_xlfn.XLOOKUP(1,($B$5:$B$43=B22-1)*($D$5:$D$43=D22),$G$5:$G$43,"")</f>
        <v>139.4</v>
      </c>
      <c r="I22" s="4">
        <f>IFERROR(((Analysis_4[[#This Row],[Food and beverages]]/Analysis_4[[#This Row],[PY Food and beverages ]])-1),"")</f>
        <v>2.3672883787661192E-2</v>
      </c>
      <c r="J22">
        <v>141.19999999999999</v>
      </c>
      <c r="K22" cm="1">
        <f t="array" ref="K22">_xlfn.XLOOKUP(1,($B$5:$B$43=B22-1)*($D$5:$D$43=D22),$J$5:$J$43,"")</f>
        <v>138.1</v>
      </c>
      <c r="L22" s="4">
        <f>IFERROR(((Analysis_4[[#This Row],[Fuel and light]]/Analysis_4[[#This Row],[PY Fuel and light]])-1),"")</f>
        <v>2.2447501810282322E-2</v>
      </c>
      <c r="M22">
        <v>147.4</v>
      </c>
      <c r="N22" cm="1">
        <f t="array" ref="N22">_xlfn.XLOOKUP(1,($B$5:$B$43=B22-1)*($D$5:$D$43=D22),$M$5:$M$43,"")</f>
        <v>136.19999999999999</v>
      </c>
      <c r="O22" s="4">
        <f>IFERROR(((Analysis_4[[#This Row],[Health]]/Analysis_4[[#This Row],[PY Health]])-1),"")</f>
        <v>8.2232011747430445E-2</v>
      </c>
      <c r="P22">
        <v>124.6</v>
      </c>
      <c r="Q22" cm="1">
        <f t="array" ref="Q22">_xlfn.XLOOKUP(1,($B$5:$B$43=B22-1)*($D$5:$D$43=D22),$P$5:$P$43,"")</f>
        <v>123.7</v>
      </c>
      <c r="R22" s="4">
        <f>IFERROR(((Analysis_4[[#This Row],[Transport and communication]]/Analysis_4[[#This Row],[PY Transport and communication]])-1),"")</f>
        <v>7.275666936135794E-3</v>
      </c>
      <c r="S22">
        <v>142.9</v>
      </c>
      <c r="T22" cm="1">
        <f t="array" ref="T22">_xlfn.XLOOKUP(1,($B$5:$B$43=B22-1)*($D$5:$D$43=D22),$S$5:$S$43,"")</f>
        <v>138.5</v>
      </c>
      <c r="U22" s="4">
        <f>IFERROR(((Analysis_4[[#This Row],[General index]]/Analysis_4[[#This Row],[PY General index]])-1),"")</f>
        <v>3.1768953068592065E-2</v>
      </c>
    </row>
    <row r="23" spans="1:21">
      <c r="A23" t="s">
        <v>35</v>
      </c>
      <c r="B23">
        <v>2019</v>
      </c>
      <c r="C23" t="s">
        <v>44</v>
      </c>
      <c r="D23">
        <v>7</v>
      </c>
      <c r="E23" s="1">
        <v>43647</v>
      </c>
      <c r="F23" t="s">
        <v>193</v>
      </c>
      <c r="G23">
        <v>144.69999999999999</v>
      </c>
      <c r="H23" cm="1">
        <f t="array" ref="H23">_xlfn.XLOOKUP(1,($B$5:$B$43=B23-1)*($D$5:$D$43=D23),$G$5:$G$43,"")</f>
        <v>141.4</v>
      </c>
      <c r="I23" s="4">
        <f>IFERROR(((Analysis_4[[#This Row],[Food and beverages]]/Analysis_4[[#This Row],[PY Food and beverages ]])-1),"")</f>
        <v>2.33380480905232E-2</v>
      </c>
      <c r="J23">
        <v>139.30000000000001</v>
      </c>
      <c r="K23" cm="1">
        <f t="array" ref="K23">_xlfn.XLOOKUP(1,($B$5:$B$43=B23-1)*($D$5:$D$43=D23),$J$5:$J$43,"")</f>
        <v>139.69999999999999</v>
      </c>
      <c r="L23" s="4">
        <f>IFERROR(((Analysis_4[[#This Row],[Fuel and light]]/Analysis_4[[#This Row],[PY Fuel and light]])-1),"")</f>
        <v>-2.8632784538294986E-3</v>
      </c>
      <c r="M23">
        <v>147.9</v>
      </c>
      <c r="N23" cm="1">
        <f t="array" ref="N23">_xlfn.XLOOKUP(1,($B$5:$B$43=B23-1)*($D$5:$D$43=D23),$M$5:$M$43,"")</f>
        <v>137</v>
      </c>
      <c r="O23" s="4">
        <f>IFERROR(((Analysis_4[[#This Row],[Health]]/Analysis_4[[#This Row],[PY Health]])-1),"")</f>
        <v>7.9562043795620374E-2</v>
      </c>
      <c r="P23">
        <v>125.6</v>
      </c>
      <c r="Q23" cm="1">
        <f t="array" ref="Q23">_xlfn.XLOOKUP(1,($B$5:$B$43=B23-1)*($D$5:$D$43=D23),$P$5:$P$43,"")</f>
        <v>123.6</v>
      </c>
      <c r="R23" s="4">
        <f>IFERROR(((Analysis_4[[#This Row],[Transport and communication]]/Analysis_4[[#This Row],[PY Transport and communication]])-1),"")</f>
        <v>1.6181229773462702E-2</v>
      </c>
      <c r="S23">
        <v>144.19999999999999</v>
      </c>
      <c r="T23" cm="1">
        <f t="array" ref="T23">_xlfn.XLOOKUP(1,($B$5:$B$43=B23-1)*($D$5:$D$43=D23),$S$5:$S$43,"")</f>
        <v>139.80000000000001</v>
      </c>
      <c r="U23" s="4">
        <f>IFERROR(((Analysis_4[[#This Row],[General index]]/Analysis_4[[#This Row],[PY General index]])-1),"")</f>
        <v>3.1473533619456262E-2</v>
      </c>
    </row>
    <row r="24" spans="1:21">
      <c r="A24" t="s">
        <v>35</v>
      </c>
      <c r="B24">
        <v>2019</v>
      </c>
      <c r="C24" t="s">
        <v>46</v>
      </c>
      <c r="D24">
        <v>8</v>
      </c>
      <c r="E24" s="1">
        <v>43678</v>
      </c>
      <c r="F24" t="s">
        <v>193</v>
      </c>
      <c r="G24">
        <v>145.9</v>
      </c>
      <c r="H24" cm="1">
        <f t="array" ref="H24">_xlfn.XLOOKUP(1,($B$5:$B$43=B24-1)*($D$5:$D$43=D24),$G$5:$G$43,"")</f>
        <v>141.69999999999999</v>
      </c>
      <c r="I24" s="4">
        <f>IFERROR(((Analysis_4[[#This Row],[Food and beverages]]/Analysis_4[[#This Row],[PY Food and beverages ]])-1),"")</f>
        <v>2.9640084685956358E-2</v>
      </c>
      <c r="J24">
        <v>138.5</v>
      </c>
      <c r="K24" cm="1">
        <f t="array" ref="K24">_xlfn.XLOOKUP(1,($B$5:$B$43=B24-1)*($D$5:$D$43=D24),$J$5:$J$43,"")</f>
        <v>140.9</v>
      </c>
      <c r="L24" s="4">
        <f>IFERROR(((Analysis_4[[#This Row],[Fuel and light]]/Analysis_4[[#This Row],[PY Fuel and light]])-1),"")</f>
        <v>-1.7033356990773685E-2</v>
      </c>
      <c r="M24">
        <v>148.5</v>
      </c>
      <c r="N24" cm="1">
        <f t="array" ref="N24">_xlfn.XLOOKUP(1,($B$5:$B$43=B24-1)*($D$5:$D$43=D24),$M$5:$M$43,"")</f>
        <v>137.69999999999999</v>
      </c>
      <c r="O24" s="4">
        <f>IFERROR(((Analysis_4[[#This Row],[Health]]/Analysis_4[[#This Row],[PY Health]])-1),"")</f>
        <v>7.8431372549019773E-2</v>
      </c>
      <c r="P24">
        <v>125.8</v>
      </c>
      <c r="Q24" cm="1">
        <f t="array" ref="Q24">_xlfn.XLOOKUP(1,($B$5:$B$43=B24-1)*($D$5:$D$43=D24),$P$5:$P$43,"")</f>
        <v>124.3</v>
      </c>
      <c r="R24" s="4">
        <f>IFERROR(((Analysis_4[[#This Row],[Transport and communication]]/Analysis_4[[#This Row],[PY Transport and communication]])-1),"")</f>
        <v>1.2067578439259874E-2</v>
      </c>
      <c r="S24">
        <v>145</v>
      </c>
      <c r="T24" cm="1">
        <f t="array" ref="T24">_xlfn.XLOOKUP(1,($B$5:$B$43=B24-1)*($D$5:$D$43=D24),$S$5:$S$43,"")</f>
        <v>140.4</v>
      </c>
      <c r="U24" s="4">
        <f>IFERROR(((Analysis_4[[#This Row],[General index]]/Analysis_4[[#This Row],[PY General index]])-1),"")</f>
        <v>3.2763532763532721E-2</v>
      </c>
    </row>
    <row r="25" spans="1:21">
      <c r="A25" t="s">
        <v>35</v>
      </c>
      <c r="B25">
        <v>2019</v>
      </c>
      <c r="C25" t="s">
        <v>48</v>
      </c>
      <c r="D25">
        <v>9</v>
      </c>
      <c r="E25" s="1">
        <v>43709</v>
      </c>
      <c r="F25" t="s">
        <v>193</v>
      </c>
      <c r="G25">
        <v>147</v>
      </c>
      <c r="H25" cm="1">
        <f t="array" ref="H25">_xlfn.XLOOKUP(1,($B$5:$B$43=B25-1)*($D$5:$D$43=D25),$G$5:$G$43,"")</f>
        <v>140.4</v>
      </c>
      <c r="I25" s="4">
        <f>IFERROR(((Analysis_4[[#This Row],[Food and beverages]]/Analysis_4[[#This Row],[PY Food and beverages ]])-1),"")</f>
        <v>4.7008547008547064E-2</v>
      </c>
      <c r="J25">
        <v>139.19999999999999</v>
      </c>
      <c r="K25" cm="1">
        <f t="array" ref="K25">_xlfn.XLOOKUP(1,($B$5:$B$43=B25-1)*($D$5:$D$43=D25),$J$5:$J$43,"")</f>
        <v>142.30000000000001</v>
      </c>
      <c r="L25" s="4">
        <f>IFERROR(((Analysis_4[[#This Row],[Fuel and light]]/Analysis_4[[#This Row],[PY Fuel and light]])-1),"")</f>
        <v>-2.1784961349262333E-2</v>
      </c>
      <c r="M25">
        <v>149</v>
      </c>
      <c r="N25" cm="1">
        <f t="array" ref="N25">_xlfn.XLOOKUP(1,($B$5:$B$43=B25-1)*($D$5:$D$43=D25),$M$5:$M$43,"")</f>
        <v>138.4</v>
      </c>
      <c r="O25" s="4">
        <f>IFERROR(((Analysis_4[[#This Row],[Health]]/Analysis_4[[#This Row],[PY Health]])-1),"")</f>
        <v>7.6589595375722519E-2</v>
      </c>
      <c r="P25">
        <v>126.1</v>
      </c>
      <c r="Q25" cm="1">
        <f t="array" ref="Q25">_xlfn.XLOOKUP(1,($B$5:$B$43=B25-1)*($D$5:$D$43=D25),$P$5:$P$43,"")</f>
        <v>126</v>
      </c>
      <c r="R25" s="4">
        <f>IFERROR(((Analysis_4[[#This Row],[Transport and communication]]/Analysis_4[[#This Row],[PY Transport and communication]])-1),"")</f>
        <v>7.9365079365079083E-4</v>
      </c>
      <c r="S25">
        <v>145.80000000000001</v>
      </c>
      <c r="T25" cm="1">
        <f t="array" ref="T25">_xlfn.XLOOKUP(1,($B$5:$B$43=B25-1)*($D$5:$D$43=D25),$S$5:$S$43,"")</f>
        <v>140.19999999999999</v>
      </c>
      <c r="U25" s="4">
        <f>IFERROR(((Analysis_4[[#This Row],[General index]]/Analysis_4[[#This Row],[PY General index]])-1),"")</f>
        <v>3.9942938659058624E-2</v>
      </c>
    </row>
    <row r="26" spans="1:21">
      <c r="A26" t="s">
        <v>35</v>
      </c>
      <c r="B26">
        <v>2019</v>
      </c>
      <c r="C26" t="s">
        <v>50</v>
      </c>
      <c r="D26">
        <v>10</v>
      </c>
      <c r="E26" s="1">
        <v>43739</v>
      </c>
      <c r="F26" t="s">
        <v>193</v>
      </c>
      <c r="G26">
        <v>149.6</v>
      </c>
      <c r="H26" cm="1">
        <f t="array" ref="H26">_xlfn.XLOOKUP(1,($B$5:$B$43=B26-1)*($D$5:$D$43=D26),$G$5:$G$43,"")</f>
        <v>139.69999999999999</v>
      </c>
      <c r="I26" s="4">
        <f>IFERROR(((Analysis_4[[#This Row],[Food and beverages]]/Analysis_4[[#This Row],[PY Food and beverages ]])-1),"")</f>
        <v>7.0866141732283561E-2</v>
      </c>
      <c r="J26">
        <v>140.6</v>
      </c>
      <c r="K26" cm="1">
        <f t="array" ref="K26">_xlfn.XLOOKUP(1,($B$5:$B$43=B26-1)*($D$5:$D$43=D26),$J$5:$J$43,"")</f>
        <v>145.30000000000001</v>
      </c>
      <c r="L26" s="4">
        <f>IFERROR(((Analysis_4[[#This Row],[Fuel and light]]/Analysis_4[[#This Row],[PY Fuel and light]])-1),"")</f>
        <v>-3.2346868547832197E-2</v>
      </c>
      <c r="M26">
        <v>149.4</v>
      </c>
      <c r="N26" cm="1">
        <f t="array" ref="N26">_xlfn.XLOOKUP(1,($B$5:$B$43=B26-1)*($D$5:$D$43=D26),$M$5:$M$43,"")</f>
        <v>142.1</v>
      </c>
      <c r="O26" s="4">
        <f>IFERROR(((Analysis_4[[#This Row],[Health]]/Analysis_4[[#This Row],[PY Health]])-1),"")</f>
        <v>5.1372273047149974E-2</v>
      </c>
      <c r="P26">
        <v>126.3</v>
      </c>
      <c r="Q26" cm="1">
        <f t="array" ref="Q26">_xlfn.XLOOKUP(1,($B$5:$B$43=B26-1)*($D$5:$D$43=D26),$P$5:$P$43,"")</f>
        <v>125.5</v>
      </c>
      <c r="R26" s="4">
        <f>IFERROR(((Analysis_4[[#This Row],[Transport and communication]]/Analysis_4[[#This Row],[PY Transport and communication]])-1),"")</f>
        <v>6.3745019920318224E-3</v>
      </c>
      <c r="S26">
        <v>147.19999999999999</v>
      </c>
      <c r="T26" cm="1">
        <f t="array" ref="T26">_xlfn.XLOOKUP(1,($B$5:$B$43=B26-1)*($D$5:$D$43=D26),$S$5:$S$43,"")</f>
        <v>140.80000000000001</v>
      </c>
      <c r="U26" s="4">
        <f>IFERROR(((Analysis_4[[#This Row],[General index]]/Analysis_4[[#This Row],[PY General index]])-1),"")</f>
        <v>4.5454545454545192E-2</v>
      </c>
    </row>
    <row r="27" spans="1:21">
      <c r="A27" t="s">
        <v>35</v>
      </c>
      <c r="B27">
        <v>2019</v>
      </c>
      <c r="C27" t="s">
        <v>53</v>
      </c>
      <c r="D27">
        <v>11</v>
      </c>
      <c r="E27" s="1">
        <v>43770</v>
      </c>
      <c r="F27" t="s">
        <v>193</v>
      </c>
      <c r="G27">
        <v>151.9</v>
      </c>
      <c r="H27" cm="1">
        <f t="array" ref="H27">_xlfn.XLOOKUP(1,($B$5:$B$43=B27-1)*($D$5:$D$43=D27),$G$5:$G$43,"")</f>
        <v>139.69999999999999</v>
      </c>
      <c r="I27" s="4">
        <f>IFERROR(((Analysis_4[[#This Row],[Food and beverages]]/Analysis_4[[#This Row],[PY Food and beverages ]])-1),"")</f>
        <v>8.7329992841804094E-2</v>
      </c>
      <c r="J27">
        <v>142.30000000000001</v>
      </c>
      <c r="K27" cm="1">
        <f t="array" ref="K27">_xlfn.XLOOKUP(1,($B$5:$B$43=B27-1)*($D$5:$D$43=D27),$J$5:$J$43,"")</f>
        <v>145.1</v>
      </c>
      <c r="L27" s="4">
        <f>IFERROR(((Analysis_4[[#This Row],[Fuel and light]]/Analysis_4[[#This Row],[PY Fuel and light]])-1),"")</f>
        <v>-1.9297036526533362E-2</v>
      </c>
      <c r="M27">
        <v>149.9</v>
      </c>
      <c r="N27" cm="1">
        <f t="array" ref="N27">_xlfn.XLOOKUP(1,($B$5:$B$43=B27-1)*($D$5:$D$43=D27),$M$5:$M$43,"")</f>
        <v>142.1</v>
      </c>
      <c r="O27" s="4">
        <f>IFERROR(((Analysis_4[[#This Row],[Health]]/Analysis_4[[#This Row],[PY Health]])-1),"")</f>
        <v>5.4890921885995869E-2</v>
      </c>
      <c r="P27">
        <v>126.6</v>
      </c>
      <c r="Q27" cm="1">
        <f t="array" ref="Q27">_xlfn.XLOOKUP(1,($B$5:$B$43=B27-1)*($D$5:$D$43=D27),$P$5:$P$43,"")</f>
        <v>125.5</v>
      </c>
      <c r="R27" s="4">
        <f>IFERROR(((Analysis_4[[#This Row],[Transport and communication]]/Analysis_4[[#This Row],[PY Transport and communication]])-1),"")</f>
        <v>8.7649402390437281E-3</v>
      </c>
      <c r="S27">
        <v>148.6</v>
      </c>
      <c r="T27" cm="1">
        <f t="array" ref="T27">_xlfn.XLOOKUP(1,($B$5:$B$43=B27-1)*($D$5:$D$43=D27),$S$5:$S$43,"")</f>
        <v>140.80000000000001</v>
      </c>
      <c r="U27" s="4">
        <f>IFERROR(((Analysis_4[[#This Row],[General index]]/Analysis_4[[#This Row],[PY General index]])-1),"")</f>
        <v>5.5397727272727071E-2</v>
      </c>
    </row>
    <row r="28" spans="1:21">
      <c r="A28" t="s">
        <v>35</v>
      </c>
      <c r="B28">
        <v>2019</v>
      </c>
      <c r="C28" t="s">
        <v>55</v>
      </c>
      <c r="D28">
        <v>12</v>
      </c>
      <c r="E28" s="1">
        <v>43800</v>
      </c>
      <c r="F28" t="s">
        <v>193</v>
      </c>
      <c r="G28">
        <v>155</v>
      </c>
      <c r="H28" cm="1">
        <f t="array" ref="H28">_xlfn.XLOOKUP(1,($B$5:$B$43=B28-1)*($D$5:$D$43=D28),$G$5:$G$43,"")</f>
        <v>138.19999999999999</v>
      </c>
      <c r="I28" s="4">
        <f>IFERROR(((Analysis_4[[#This Row],[Food and beverages]]/Analysis_4[[#This Row],[PY Food and beverages ]])-1),"")</f>
        <v>0.12156295224312608</v>
      </c>
      <c r="J28">
        <v>143.69999999999999</v>
      </c>
      <c r="K28" cm="1">
        <f t="array" ref="K28">_xlfn.XLOOKUP(1,($B$5:$B$43=B28-1)*($D$5:$D$43=D28),$J$5:$J$43,"")</f>
        <v>142.69999999999999</v>
      </c>
      <c r="L28" s="4">
        <f>IFERROR(((Analysis_4[[#This Row],[Fuel and light]]/Analysis_4[[#This Row],[PY Fuel and light]])-1),"")</f>
        <v>7.0077084793271904E-3</v>
      </c>
      <c r="M28">
        <v>150.4</v>
      </c>
      <c r="N28" cm="1">
        <f t="array" ref="N28">_xlfn.XLOOKUP(1,($B$5:$B$43=B28-1)*($D$5:$D$43=D28),$M$5:$M$43,"")</f>
        <v>144.9</v>
      </c>
      <c r="O28" s="4">
        <f>IFERROR(((Analysis_4[[#This Row],[Health]]/Analysis_4[[#This Row],[PY Health]])-1),"")</f>
        <v>3.7957211870255358E-2</v>
      </c>
      <c r="P28">
        <v>129.80000000000001</v>
      </c>
      <c r="Q28" cm="1">
        <f t="array" ref="Q28">_xlfn.XLOOKUP(1,($B$5:$B$43=B28-1)*($D$5:$D$43=D28),$P$5:$P$43,"")</f>
        <v>123.6</v>
      </c>
      <c r="R28" s="4">
        <f>IFERROR(((Analysis_4[[#This Row],[Transport and communication]]/Analysis_4[[#This Row],[PY Transport and communication]])-1),"")</f>
        <v>5.0161812297734754E-2</v>
      </c>
      <c r="S28">
        <v>150.4</v>
      </c>
      <c r="T28" cm="1">
        <f t="array" ref="T28">_xlfn.XLOOKUP(1,($B$5:$B$43=B28-1)*($D$5:$D$43=D28),$S$5:$S$43,"")</f>
        <v>140.1</v>
      </c>
      <c r="U28" s="4">
        <f>IFERROR(((Analysis_4[[#This Row],[General index]]/Analysis_4[[#This Row],[PY General index]])-1),"")</f>
        <v>7.3518915060670986E-2</v>
      </c>
    </row>
    <row r="29" spans="1:21">
      <c r="A29" t="s">
        <v>35</v>
      </c>
      <c r="B29">
        <v>2020</v>
      </c>
      <c r="C29" t="s">
        <v>31</v>
      </c>
      <c r="D29">
        <v>1</v>
      </c>
      <c r="E29" s="1">
        <v>43831</v>
      </c>
      <c r="F29" t="s">
        <v>193</v>
      </c>
      <c r="G29">
        <v>153.5</v>
      </c>
      <c r="H29" cm="1">
        <f t="array" ref="H29">_xlfn.XLOOKUP(1,($B$5:$B$43=B29-1)*($D$5:$D$43=D29),$G$5:$G$43,"")</f>
        <v>137.4</v>
      </c>
      <c r="I29" s="4">
        <f>IFERROR(((Analysis_4[[#This Row],[Food and beverages]]/Analysis_4[[#This Row],[PY Food and beverages ]])-1),"")</f>
        <v>0.11717612809315869</v>
      </c>
      <c r="J29">
        <v>144.6</v>
      </c>
      <c r="K29" cm="1">
        <f t="array" ref="K29">_xlfn.XLOOKUP(1,($B$5:$B$43=B29-1)*($D$5:$D$43=D29),$J$5:$J$43,"")</f>
        <v>139.5</v>
      </c>
      <c r="L29" s="4">
        <f>IFERROR(((Analysis_4[[#This Row],[Fuel and light]]/Analysis_4[[#This Row],[PY Fuel and light]])-1),"")</f>
        <v>3.6559139784946293E-2</v>
      </c>
      <c r="M29">
        <v>151.19999999999999</v>
      </c>
      <c r="N29" cm="1">
        <f t="array" ref="N29">_xlfn.XLOOKUP(1,($B$5:$B$43=B29-1)*($D$5:$D$43=D29),$M$5:$M$43,"")</f>
        <v>145.1</v>
      </c>
      <c r="O29" s="4">
        <f>IFERROR(((Analysis_4[[#This Row],[Health]]/Analysis_4[[#This Row],[PY Health]])-1),"")</f>
        <v>4.2039972432804884E-2</v>
      </c>
      <c r="P29">
        <v>130.9</v>
      </c>
      <c r="Q29" cm="1">
        <f t="array" ref="Q29">_xlfn.XLOOKUP(1,($B$5:$B$43=B29-1)*($D$5:$D$43=D29),$P$5:$P$43,"")</f>
        <v>123.3</v>
      </c>
      <c r="R29" s="4">
        <f>IFERROR(((Analysis_4[[#This Row],[Transport and communication]]/Analysis_4[[#This Row],[PY Transport and communication]])-1),"")</f>
        <v>6.1638280616382879E-2</v>
      </c>
      <c r="S29">
        <v>150.19999999999999</v>
      </c>
      <c r="T29" cm="1">
        <f t="array" ref="T29">_xlfn.XLOOKUP(1,($B$5:$B$43=B29-1)*($D$5:$D$43=D29),$S$5:$S$43,"")</f>
        <v>139.6</v>
      </c>
      <c r="U29" s="4">
        <f>IFERROR(((Analysis_4[[#This Row],[General index]]/Analysis_4[[#This Row],[PY General index]])-1),"")</f>
        <v>7.5931232091690504E-2</v>
      </c>
    </row>
    <row r="30" spans="1:21">
      <c r="A30" t="s">
        <v>35</v>
      </c>
      <c r="B30">
        <v>2020</v>
      </c>
      <c r="C30" t="s">
        <v>36</v>
      </c>
      <c r="D30">
        <v>2</v>
      </c>
      <c r="E30" s="1">
        <v>43862</v>
      </c>
      <c r="F30" t="s">
        <v>193</v>
      </c>
      <c r="G30">
        <v>150.5</v>
      </c>
      <c r="H30" cm="1">
        <f t="array" ref="H30">_xlfn.XLOOKUP(1,($B$5:$B$43=B30-1)*($D$5:$D$43=D30),$G$5:$G$43,"")</f>
        <v>137.5</v>
      </c>
      <c r="I30" s="4">
        <f>IFERROR(((Analysis_4[[#This Row],[Food and beverages]]/Analysis_4[[#This Row],[PY Food and beverages ]])-1),"")</f>
        <v>9.4545454545454488E-2</v>
      </c>
      <c r="J30">
        <v>147.19999999999999</v>
      </c>
      <c r="K30" cm="1">
        <f t="array" ref="K30">_xlfn.XLOOKUP(1,($B$5:$B$43=B30-1)*($D$5:$D$43=D30),$J$5:$J$43,"")</f>
        <v>138.4</v>
      </c>
      <c r="L30" s="4">
        <f>IFERROR(((Analysis_4[[#This Row],[Fuel and light]]/Analysis_4[[#This Row],[PY Fuel and light]])-1),"")</f>
        <v>6.3583815028901647E-2</v>
      </c>
      <c r="M30">
        <v>151.69999999999999</v>
      </c>
      <c r="N30" cm="1">
        <f t="array" ref="N30">_xlfn.XLOOKUP(1,($B$5:$B$43=B30-1)*($D$5:$D$43=D30),$M$5:$M$43,"")</f>
        <v>145.6</v>
      </c>
      <c r="O30" s="4">
        <f>IFERROR(((Analysis_4[[#This Row],[Health]]/Analysis_4[[#This Row],[PY Health]])-1),"")</f>
        <v>4.1895604395604469E-2</v>
      </c>
      <c r="P30">
        <v>130.30000000000001</v>
      </c>
      <c r="Q30" cm="1">
        <f t="array" ref="Q30">_xlfn.XLOOKUP(1,($B$5:$B$43=B30-1)*($D$5:$D$43=D30),$P$5:$P$43,"")</f>
        <v>123.9</v>
      </c>
      <c r="R30" s="4">
        <f>IFERROR(((Analysis_4[[#This Row],[Transport and communication]]/Analysis_4[[#This Row],[PY Transport and communication]])-1),"")</f>
        <v>5.1654560129136495E-2</v>
      </c>
      <c r="S30">
        <v>149.1</v>
      </c>
      <c r="T30" cm="1">
        <f t="array" ref="T30">_xlfn.XLOOKUP(1,($B$5:$B$43=B30-1)*($D$5:$D$43=D30),$S$5:$S$43,"")</f>
        <v>139.9</v>
      </c>
      <c r="U30" s="4">
        <f>IFERROR(((Analysis_4[[#This Row],[General index]]/Analysis_4[[#This Row],[PY General index]])-1),"")</f>
        <v>6.5761258041458159E-2</v>
      </c>
    </row>
    <row r="31" spans="1:21">
      <c r="A31" t="s">
        <v>35</v>
      </c>
      <c r="B31">
        <v>2020</v>
      </c>
      <c r="C31" t="s">
        <v>38</v>
      </c>
      <c r="D31">
        <v>3</v>
      </c>
      <c r="E31" s="1">
        <v>43891</v>
      </c>
      <c r="F31" t="s">
        <v>194</v>
      </c>
      <c r="G31">
        <v>148.9</v>
      </c>
      <c r="H31" cm="1">
        <f t="array" ref="H31">_xlfn.XLOOKUP(1,($B$5:$B$43=B31-1)*($D$5:$D$43=D31),$G$5:$G$43,"")</f>
        <v>138.1</v>
      </c>
      <c r="I31" s="4">
        <f>IFERROR(((Analysis_4[[#This Row],[Food and beverages]]/Analysis_4[[#This Row],[PY Food and beverages ]])-1),"")</f>
        <v>7.8204199855177459E-2</v>
      </c>
      <c r="J31">
        <v>148.9</v>
      </c>
      <c r="K31" cm="1">
        <f t="array" ref="K31">_xlfn.XLOOKUP(1,($B$5:$B$43=B31-1)*($D$5:$D$43=D31),$J$5:$J$43,"")</f>
        <v>139.69999999999999</v>
      </c>
      <c r="L31" s="4">
        <f>IFERROR(((Analysis_4[[#This Row],[Fuel and light]]/Analysis_4[[#This Row],[PY Fuel and light]])-1),"")</f>
        <v>6.5855404438081688E-2</v>
      </c>
      <c r="M31">
        <v>152.30000000000001</v>
      </c>
      <c r="N31" cm="1">
        <f t="array" ref="N31">_xlfn.XLOOKUP(1,($B$5:$B$43=B31-1)*($D$5:$D$43=D31),$M$5:$M$43,"")</f>
        <v>146.19999999999999</v>
      </c>
      <c r="O31" s="4">
        <f>IFERROR(((Analysis_4[[#This Row],[Health]]/Analysis_4[[#This Row],[PY Health]])-1),"")</f>
        <v>4.1723666210670363E-2</v>
      </c>
      <c r="P31">
        <v>129.9</v>
      </c>
      <c r="Q31" cm="1">
        <f t="array" ref="Q31">_xlfn.XLOOKUP(1,($B$5:$B$43=B31-1)*($D$5:$D$43=D31),$P$5:$P$43,"")</f>
        <v>124.6</v>
      </c>
      <c r="R31" s="4">
        <f>IFERROR(((Analysis_4[[#This Row],[Transport and communication]]/Analysis_4[[#This Row],[PY Transport and communication]])-1),"")</f>
        <v>4.2536115569823618E-2</v>
      </c>
      <c r="S31">
        <v>148.6</v>
      </c>
      <c r="T31" cm="1">
        <f t="array" ref="T31">_xlfn.XLOOKUP(1,($B$5:$B$43=B31-1)*($D$5:$D$43=D31),$S$5:$S$43,"")</f>
        <v>140.4</v>
      </c>
      <c r="U31" s="4">
        <f>IFERROR(((Analysis_4[[#This Row],[General index]]/Analysis_4[[#This Row],[PY General index]])-1),"")</f>
        <v>5.8404558404558271E-2</v>
      </c>
    </row>
    <row r="32" spans="1:21">
      <c r="A32" t="s">
        <v>35</v>
      </c>
      <c r="B32">
        <v>2020</v>
      </c>
      <c r="C32" t="s">
        <v>39</v>
      </c>
      <c r="D32">
        <v>4</v>
      </c>
      <c r="E32" s="1">
        <v>43922</v>
      </c>
      <c r="F32" t="s">
        <v>195</v>
      </c>
      <c r="G32">
        <v>151.4</v>
      </c>
      <c r="H32" cm="1">
        <f t="array" ref="H32">_xlfn.XLOOKUP(1,($B$5:$B$43=B32-1)*($D$5:$D$43=D32),$G$5:$G$43,"")</f>
        <v>139.5</v>
      </c>
      <c r="I32" s="4">
        <f>IFERROR(((Analysis_4[[#This Row],[Food and beverages]]/Analysis_4[[#This Row],[PY Food and beverages ]])-1),"")</f>
        <v>8.5304659498207869E-2</v>
      </c>
      <c r="J32">
        <v>144.1</v>
      </c>
      <c r="K32" cm="1">
        <f t="array" ref="K32">_xlfn.XLOOKUP(1,($B$5:$B$43=B32-1)*($D$5:$D$43=D32),$J$5:$J$43,"")</f>
        <v>140</v>
      </c>
      <c r="L32" s="4">
        <f>IFERROR(((Analysis_4[[#This Row],[Fuel and light]]/Analysis_4[[#This Row],[PY Fuel and light]])-1),"")</f>
        <v>2.9285714285714137E-2</v>
      </c>
      <c r="M32">
        <v>150.69999999999999</v>
      </c>
      <c r="N32" cm="1">
        <f t="array" ref="N32">_xlfn.XLOOKUP(1,($B$5:$B$43=B32-1)*($D$5:$D$43=D32),$M$5:$M$43,"")</f>
        <v>146.6</v>
      </c>
      <c r="O32" s="4">
        <f>IFERROR(((Analysis_4[[#This Row],[Health]]/Analysis_4[[#This Row],[PY Health]])-1),"")</f>
        <v>2.7967257844474736E-2</v>
      </c>
      <c r="P32">
        <v>131.6</v>
      </c>
      <c r="Q32" cm="1">
        <f t="array" ref="Q32">_xlfn.XLOOKUP(1,($B$5:$B$43=B32-1)*($D$5:$D$43=D32),$P$5:$P$43,"")</f>
        <v>124.8</v>
      </c>
      <c r="R32" s="4">
        <f>IFERROR(((Analysis_4[[#This Row],[Transport and communication]]/Analysis_4[[#This Row],[PY Transport and communication]])-1),"")</f>
        <v>5.4487179487179516E-2</v>
      </c>
      <c r="S32">
        <v>149.69999999999999</v>
      </c>
      <c r="T32" cm="1">
        <f t="array" ref="T32">_xlfn.XLOOKUP(1,($B$5:$B$43=B32-1)*($D$5:$D$43=D32),$S$5:$S$43,"")</f>
        <v>141.19999999999999</v>
      </c>
      <c r="U32" s="4">
        <f>IFERROR(((Analysis_4[[#This Row],[General index]]/Analysis_4[[#This Row],[PY General index]])-1),"")</f>
        <v>6.019830028328621E-2</v>
      </c>
    </row>
    <row r="33" spans="1:21">
      <c r="A33" t="s">
        <v>35</v>
      </c>
      <c r="B33">
        <v>2020</v>
      </c>
      <c r="C33" t="s">
        <v>41</v>
      </c>
      <c r="D33">
        <v>5</v>
      </c>
      <c r="E33" s="1">
        <v>43952</v>
      </c>
      <c r="F33" t="s">
        <v>195</v>
      </c>
      <c r="G33">
        <v>152.69999999999999</v>
      </c>
      <c r="H33" cm="1">
        <f t="array" ref="H33">_xlfn.XLOOKUP(1,($B$5:$B$43=B33-1)*($D$5:$D$43=D33),$G$5:$G$43,"")</f>
        <v>140.9</v>
      </c>
      <c r="I33" s="4">
        <f>IFERROR(((Analysis_4[[#This Row],[Food and beverages]]/Analysis_4[[#This Row],[PY Food and beverages ]])-1),"")</f>
        <v>8.3747338537970117E-2</v>
      </c>
      <c r="J33">
        <v>143</v>
      </c>
      <c r="K33" cm="1">
        <f t="array" ref="K33">_xlfn.XLOOKUP(1,($B$5:$B$43=B33-1)*($D$5:$D$43=D33),$J$5:$J$43,"")</f>
        <v>140.30000000000001</v>
      </c>
      <c r="L33" s="4">
        <f>IFERROR(((Analysis_4[[#This Row],[Fuel and light]]/Analysis_4[[#This Row],[PY Fuel and light]])-1),"")</f>
        <v>1.9244476122594278E-2</v>
      </c>
      <c r="M33">
        <v>152.6</v>
      </c>
      <c r="N33" cm="1">
        <f t="array" ref="N33">_xlfn.XLOOKUP(1,($B$5:$B$43=B33-1)*($D$5:$D$43=D33),$M$5:$M$43,"")</f>
        <v>146.9</v>
      </c>
      <c r="O33" s="4">
        <f>IFERROR(((Analysis_4[[#This Row],[Health]]/Analysis_4[[#This Row],[PY Health]])-1),"")</f>
        <v>3.8801906058543167E-2</v>
      </c>
      <c r="P33">
        <v>133.30000000000001</v>
      </c>
      <c r="Q33" cm="1">
        <f t="array" ref="Q33">_xlfn.XLOOKUP(1,($B$5:$B$43=B33-1)*($D$5:$D$43=D33),$P$5:$P$43,"")</f>
        <v>124.9</v>
      </c>
      <c r="R33" s="4">
        <f>IFERROR(((Analysis_4[[#This Row],[Transport and communication]]/Analysis_4[[#This Row],[PY Transport and communication]])-1),"")</f>
        <v>6.7253803042433891E-2</v>
      </c>
      <c r="S33">
        <v>150.69999999999999</v>
      </c>
      <c r="T33" cm="1">
        <f t="array" ref="T33">_xlfn.XLOOKUP(1,($B$5:$B$43=B33-1)*($D$5:$D$43=D33),$S$5:$S$43,"")</f>
        <v>142</v>
      </c>
      <c r="U33" s="4">
        <f>IFERROR(((Analysis_4[[#This Row],[General index]]/Analysis_4[[#This Row],[PY General index]])-1),"")</f>
        <v>6.1267605633802846E-2</v>
      </c>
    </row>
    <row r="34" spans="1:21">
      <c r="A34" t="s">
        <v>35</v>
      </c>
      <c r="B34">
        <v>2020</v>
      </c>
      <c r="C34" t="s">
        <v>42</v>
      </c>
      <c r="D34">
        <v>6</v>
      </c>
      <c r="E34" s="1">
        <v>43983</v>
      </c>
      <c r="F34" t="s">
        <v>195</v>
      </c>
      <c r="G34">
        <v>154</v>
      </c>
      <c r="H34" cm="1">
        <f t="array" ref="H34">_xlfn.XLOOKUP(1,($B$5:$B$43=B34-1)*($D$5:$D$43=D34),$G$5:$G$43,"")</f>
        <v>142.69999999999999</v>
      </c>
      <c r="I34" s="4">
        <f>IFERROR(((Analysis_4[[#This Row],[Food and beverages]]/Analysis_4[[#This Row],[PY Food and beverages ]])-1),"")</f>
        <v>7.9187105816398207E-2</v>
      </c>
      <c r="J34">
        <v>141.9</v>
      </c>
      <c r="K34" cm="1">
        <f t="array" ref="K34">_xlfn.XLOOKUP(1,($B$5:$B$43=B34-1)*($D$5:$D$43=D34),$J$5:$J$43,"")</f>
        <v>141.19999999999999</v>
      </c>
      <c r="L34" s="4">
        <f>IFERROR(((Analysis_4[[#This Row],[Fuel and light]]/Analysis_4[[#This Row],[PY Fuel and light]])-1),"")</f>
        <v>4.9575070821530343E-3</v>
      </c>
      <c r="M34">
        <v>154.4</v>
      </c>
      <c r="N34" cm="1">
        <f t="array" ref="N34">_xlfn.XLOOKUP(1,($B$5:$B$43=B34-1)*($D$5:$D$43=D34),$M$5:$M$43,"")</f>
        <v>147.4</v>
      </c>
      <c r="O34" s="4">
        <f>IFERROR(((Analysis_4[[#This Row],[Health]]/Analysis_4[[#This Row],[PY Health]])-1),"")</f>
        <v>4.7489823609226489E-2</v>
      </c>
      <c r="P34">
        <v>135</v>
      </c>
      <c r="Q34" cm="1">
        <f t="array" ref="Q34">_xlfn.XLOOKUP(1,($B$5:$B$43=B34-1)*($D$5:$D$43=D34),$P$5:$P$43,"")</f>
        <v>124.6</v>
      </c>
      <c r="R34" s="4">
        <f>IFERROR(((Analysis_4[[#This Row],[Transport and communication]]/Analysis_4[[#This Row],[PY Transport and communication]])-1),"")</f>
        <v>8.3467094703049804E-2</v>
      </c>
      <c r="S34">
        <v>151.80000000000001</v>
      </c>
      <c r="T34" cm="1">
        <f t="array" ref="T34">_xlfn.XLOOKUP(1,($B$5:$B$43=B34-1)*($D$5:$D$43=D34),$S$5:$S$43,"")</f>
        <v>142.9</v>
      </c>
      <c r="U34" s="4">
        <f>IFERROR(((Analysis_4[[#This Row],[General index]]/Analysis_4[[#This Row],[PY General index]])-1),"")</f>
        <v>6.2281315605318355E-2</v>
      </c>
    </row>
    <row r="35" spans="1:21">
      <c r="A35" t="s">
        <v>35</v>
      </c>
      <c r="B35">
        <v>2020</v>
      </c>
      <c r="C35" t="s">
        <v>44</v>
      </c>
      <c r="D35">
        <v>7</v>
      </c>
      <c r="E35" s="1">
        <v>44013</v>
      </c>
      <c r="F35" t="s">
        <v>195</v>
      </c>
      <c r="G35">
        <v>154</v>
      </c>
      <c r="H35" cm="1">
        <f t="array" ref="H35">_xlfn.XLOOKUP(1,($B$5:$B$43=B35-1)*($D$5:$D$43=D35),$G$5:$G$43,"")</f>
        <v>144.69999999999999</v>
      </c>
      <c r="I35" s="4">
        <f>IFERROR(((Analysis_4[[#This Row],[Food and beverages]]/Analysis_4[[#This Row],[PY Food and beverages ]])-1),"")</f>
        <v>6.4270905321354599E-2</v>
      </c>
      <c r="J35">
        <v>141.9</v>
      </c>
      <c r="K35" cm="1">
        <f t="array" ref="K35">_xlfn.XLOOKUP(1,($B$5:$B$43=B35-1)*($D$5:$D$43=D35),$J$5:$J$43,"")</f>
        <v>139.30000000000001</v>
      </c>
      <c r="L35" s="4">
        <f>IFERROR(((Analysis_4[[#This Row],[Fuel and light]]/Analysis_4[[#This Row],[PY Fuel and light]])-1),"")</f>
        <v>1.8664752333094059E-2</v>
      </c>
      <c r="M35">
        <v>154.4</v>
      </c>
      <c r="N35" cm="1">
        <f t="array" ref="N35">_xlfn.XLOOKUP(1,($B$5:$B$43=B35-1)*($D$5:$D$43=D35),$M$5:$M$43,"")</f>
        <v>147.9</v>
      </c>
      <c r="O35" s="4">
        <f>IFERROR(((Analysis_4[[#This Row],[Health]]/Analysis_4[[#This Row],[PY Health]])-1),"")</f>
        <v>4.3948613928330049E-2</v>
      </c>
      <c r="P35">
        <v>135</v>
      </c>
      <c r="Q35" cm="1">
        <f t="array" ref="Q35">_xlfn.XLOOKUP(1,($B$5:$B$43=B35-1)*($D$5:$D$43=D35),$P$5:$P$43,"")</f>
        <v>125.6</v>
      </c>
      <c r="R35" s="4">
        <f>IFERROR(((Analysis_4[[#This Row],[Transport and communication]]/Analysis_4[[#This Row],[PY Transport and communication]])-1),"")</f>
        <v>7.4840764331210341E-2</v>
      </c>
      <c r="S35">
        <v>151.80000000000001</v>
      </c>
      <c r="T35" cm="1">
        <f t="array" ref="T35">_xlfn.XLOOKUP(1,($B$5:$B$43=B35-1)*($D$5:$D$43=D35),$S$5:$S$43,"")</f>
        <v>144.19999999999999</v>
      </c>
      <c r="U35" s="4">
        <f>IFERROR(((Analysis_4[[#This Row],[General index]]/Analysis_4[[#This Row],[PY General index]])-1),"")</f>
        <v>5.2704576976421835E-2</v>
      </c>
    </row>
    <row r="36" spans="1:21">
      <c r="A36" t="s">
        <v>35</v>
      </c>
      <c r="B36">
        <v>2020</v>
      </c>
      <c r="C36" t="s">
        <v>46</v>
      </c>
      <c r="D36">
        <v>8</v>
      </c>
      <c r="E36" s="1">
        <v>44044</v>
      </c>
      <c r="F36" t="s">
        <v>195</v>
      </c>
      <c r="G36">
        <v>157</v>
      </c>
      <c r="H36" cm="1">
        <f t="array" ref="H36">_xlfn.XLOOKUP(1,($B$5:$B$43=B36-1)*($D$5:$D$43=D36),$G$5:$G$43,"")</f>
        <v>145.9</v>
      </c>
      <c r="I36" s="4">
        <f>IFERROR(((Analysis_4[[#This Row],[Food and beverages]]/Analysis_4[[#This Row],[PY Food and beverages ]])-1),"")</f>
        <v>7.6079506511309125E-2</v>
      </c>
      <c r="J36">
        <v>143</v>
      </c>
      <c r="K36" cm="1">
        <f t="array" ref="K36">_xlfn.XLOOKUP(1,($B$5:$B$43=B36-1)*($D$5:$D$43=D36),$J$5:$J$43,"")</f>
        <v>138.5</v>
      </c>
      <c r="L36" s="4">
        <f>IFERROR(((Analysis_4[[#This Row],[Fuel and light]]/Analysis_4[[#This Row],[PY Fuel and light]])-1),"")</f>
        <v>3.2490974729241895E-2</v>
      </c>
      <c r="M36">
        <v>155</v>
      </c>
      <c r="N36" cm="1">
        <f t="array" ref="N36">_xlfn.XLOOKUP(1,($B$5:$B$43=B36-1)*($D$5:$D$43=D36),$M$5:$M$43,"")</f>
        <v>148.5</v>
      </c>
      <c r="O36" s="4">
        <f>IFERROR(((Analysis_4[[#This Row],[Health]]/Analysis_4[[#This Row],[PY Health]])-1),"")</f>
        <v>4.3771043771043683E-2</v>
      </c>
      <c r="P36">
        <v>138.5</v>
      </c>
      <c r="Q36" cm="1">
        <f t="array" ref="Q36">_xlfn.XLOOKUP(1,($B$5:$B$43=B36-1)*($D$5:$D$43=D36),$P$5:$P$43,"")</f>
        <v>125.8</v>
      </c>
      <c r="R36" s="4">
        <f>IFERROR(((Analysis_4[[#This Row],[Transport and communication]]/Analysis_4[[#This Row],[PY Transport and communication]])-1),"")</f>
        <v>0.10095389507154207</v>
      </c>
      <c r="S36">
        <v>153.9</v>
      </c>
      <c r="T36" cm="1">
        <f t="array" ref="T36">_xlfn.XLOOKUP(1,($B$5:$B$43=B36-1)*($D$5:$D$43=D36),$S$5:$S$43,"")</f>
        <v>145</v>
      </c>
      <c r="U36" s="4">
        <f>IFERROR(((Analysis_4[[#This Row],[General index]]/Analysis_4[[#This Row],[PY General index]])-1),"")</f>
        <v>6.1379310344827687E-2</v>
      </c>
    </row>
    <row r="37" spans="1:21">
      <c r="A37" t="s">
        <v>35</v>
      </c>
      <c r="B37">
        <v>2020</v>
      </c>
      <c r="C37" t="s">
        <v>48</v>
      </c>
      <c r="D37">
        <v>9</v>
      </c>
      <c r="E37" s="1">
        <v>44075</v>
      </c>
      <c r="F37" t="s">
        <v>195</v>
      </c>
      <c r="G37">
        <v>158</v>
      </c>
      <c r="H37" cm="1">
        <f t="array" ref="H37">_xlfn.XLOOKUP(1,($B$5:$B$43=B37-1)*($D$5:$D$43=D37),$G$5:$G$43,"")</f>
        <v>147</v>
      </c>
      <c r="I37" s="4">
        <f>IFERROR(((Analysis_4[[#This Row],[Food and beverages]]/Analysis_4[[#This Row],[PY Food and beverages ]])-1),"")</f>
        <v>7.4829931972789199E-2</v>
      </c>
      <c r="J37">
        <v>142.9</v>
      </c>
      <c r="K37" cm="1">
        <f t="array" ref="K37">_xlfn.XLOOKUP(1,($B$5:$B$43=B37-1)*($D$5:$D$43=D37),$J$5:$J$43,"")</f>
        <v>139.19999999999999</v>
      </c>
      <c r="L37" s="4">
        <f>IFERROR(((Analysis_4[[#This Row],[Fuel and light]]/Analysis_4[[#This Row],[PY Fuel and light]])-1),"")</f>
        <v>2.6580459770115139E-2</v>
      </c>
      <c r="M37">
        <v>155.6</v>
      </c>
      <c r="N37" cm="1">
        <f t="array" ref="N37">_xlfn.XLOOKUP(1,($B$5:$B$43=B37-1)*($D$5:$D$43=D37),$M$5:$M$43,"")</f>
        <v>149</v>
      </c>
      <c r="O37" s="4">
        <f>IFERROR(((Analysis_4[[#This Row],[Health]]/Analysis_4[[#This Row],[PY Health]])-1),"")</f>
        <v>4.4295302013422688E-2</v>
      </c>
      <c r="P37">
        <v>139.6</v>
      </c>
      <c r="Q37" cm="1">
        <f t="array" ref="Q37">_xlfn.XLOOKUP(1,($B$5:$B$43=B37-1)*($D$5:$D$43=D37),$P$5:$P$43,"")</f>
        <v>126.1</v>
      </c>
      <c r="R37" s="4">
        <f>IFERROR(((Analysis_4[[#This Row],[Transport and communication]]/Analysis_4[[#This Row],[PY Transport and communication]])-1),"")</f>
        <v>0.10705789056304527</v>
      </c>
      <c r="S37">
        <v>154.69999999999999</v>
      </c>
      <c r="T37" cm="1">
        <f t="array" ref="T37">_xlfn.XLOOKUP(1,($B$5:$B$43=B37-1)*($D$5:$D$43=D37),$S$5:$S$43,"")</f>
        <v>145.80000000000001</v>
      </c>
      <c r="U37" s="4">
        <f>IFERROR(((Analysis_4[[#This Row],[General index]]/Analysis_4[[#This Row],[PY General index]])-1),"")</f>
        <v>6.104252400548682E-2</v>
      </c>
    </row>
    <row r="38" spans="1:21">
      <c r="A38" t="s">
        <v>35</v>
      </c>
      <c r="B38">
        <v>2020</v>
      </c>
      <c r="C38" t="s">
        <v>50</v>
      </c>
      <c r="D38">
        <v>10</v>
      </c>
      <c r="E38" s="1">
        <v>44105</v>
      </c>
      <c r="F38" t="s">
        <v>195</v>
      </c>
      <c r="G38">
        <v>161.4</v>
      </c>
      <c r="H38" cm="1">
        <f t="array" ref="H38">_xlfn.XLOOKUP(1,($B$5:$B$43=B38-1)*($D$5:$D$43=D38),$G$5:$G$43,"")</f>
        <v>149.6</v>
      </c>
      <c r="I38" s="4">
        <f>IFERROR(((Analysis_4[[#This Row],[Food and beverages]]/Analysis_4[[#This Row],[PY Food and beverages ]])-1),"")</f>
        <v>7.8877005347593565E-2</v>
      </c>
      <c r="J38">
        <v>143.1</v>
      </c>
      <c r="K38" cm="1">
        <f t="array" ref="K38">_xlfn.XLOOKUP(1,($B$5:$B$43=B38-1)*($D$5:$D$43=D38),$J$5:$J$43,"")</f>
        <v>140.6</v>
      </c>
      <c r="L38" s="4">
        <f>IFERROR(((Analysis_4[[#This Row],[Fuel and light]]/Analysis_4[[#This Row],[PY Fuel and light]])-1),"")</f>
        <v>1.7780938833570348E-2</v>
      </c>
      <c r="M38">
        <v>156.30000000000001</v>
      </c>
      <c r="N38" cm="1">
        <f t="array" ref="N38">_xlfn.XLOOKUP(1,($B$5:$B$43=B38-1)*($D$5:$D$43=D38),$M$5:$M$43,"")</f>
        <v>149.4</v>
      </c>
      <c r="O38" s="4">
        <f>IFERROR(((Analysis_4[[#This Row],[Health]]/Analysis_4[[#This Row],[PY Health]])-1),"")</f>
        <v>4.6184738955823423E-2</v>
      </c>
      <c r="P38">
        <v>140.6</v>
      </c>
      <c r="Q38" cm="1">
        <f t="array" ref="Q38">_xlfn.XLOOKUP(1,($B$5:$B$43=B38-1)*($D$5:$D$43=D38),$P$5:$P$43,"")</f>
        <v>126.3</v>
      </c>
      <c r="R38" s="4">
        <f>IFERROR(((Analysis_4[[#This Row],[Transport and communication]]/Analysis_4[[#This Row],[PY Transport and communication]])-1),"")</f>
        <v>0.11322248614410135</v>
      </c>
      <c r="S38">
        <v>156.4</v>
      </c>
      <c r="T38" cm="1">
        <f t="array" ref="T38">_xlfn.XLOOKUP(1,($B$5:$B$43=B38-1)*($D$5:$D$43=D38),$S$5:$S$43,"")</f>
        <v>147.19999999999999</v>
      </c>
      <c r="U38" s="4">
        <f>IFERROR(((Analysis_4[[#This Row],[General index]]/Analysis_4[[#This Row],[PY General index]])-1),"")</f>
        <v>6.2500000000000222E-2</v>
      </c>
    </row>
    <row r="39" spans="1:21">
      <c r="A39" t="s">
        <v>35</v>
      </c>
      <c r="B39">
        <v>2020</v>
      </c>
      <c r="C39" t="s">
        <v>53</v>
      </c>
      <c r="D39">
        <v>11</v>
      </c>
      <c r="E39" s="1">
        <v>44136</v>
      </c>
      <c r="F39" t="s">
        <v>195</v>
      </c>
      <c r="G39">
        <v>164.7</v>
      </c>
      <c r="H39" cm="1">
        <f t="array" ref="H39">_xlfn.XLOOKUP(1,($B$5:$B$43=B39-1)*($D$5:$D$43=D39),$G$5:$G$43,"")</f>
        <v>151.9</v>
      </c>
      <c r="I39" s="4">
        <f>IFERROR(((Analysis_4[[#This Row],[Food and beverages]]/Analysis_4[[#This Row],[PY Food and beverages ]])-1),"")</f>
        <v>8.4265964450296105E-2</v>
      </c>
      <c r="J39">
        <v>143.6</v>
      </c>
      <c r="K39" cm="1">
        <f t="array" ref="K39">_xlfn.XLOOKUP(1,($B$5:$B$43=B39-1)*($D$5:$D$43=D39),$J$5:$J$43,"")</f>
        <v>142.30000000000001</v>
      </c>
      <c r="L39" s="4">
        <f>IFERROR(((Analysis_4[[#This Row],[Fuel and light]]/Analysis_4[[#This Row],[PY Fuel and light]])-1),"")</f>
        <v>9.1356289529163082E-3</v>
      </c>
      <c r="M39">
        <v>157.19999999999999</v>
      </c>
      <c r="N39" cm="1">
        <f t="array" ref="N39">_xlfn.XLOOKUP(1,($B$5:$B$43=B39-1)*($D$5:$D$43=D39),$M$5:$M$43,"")</f>
        <v>149.9</v>
      </c>
      <c r="O39" s="4">
        <f>IFERROR(((Analysis_4[[#This Row],[Health]]/Analysis_4[[#This Row],[PY Health]])-1),"")</f>
        <v>4.8699132755170016E-2</v>
      </c>
      <c r="P39">
        <v>140.4</v>
      </c>
      <c r="Q39" cm="1">
        <f t="array" ref="Q39">_xlfn.XLOOKUP(1,($B$5:$B$43=B39-1)*($D$5:$D$43=D39),$P$5:$P$43,"")</f>
        <v>126.6</v>
      </c>
      <c r="R39" s="4">
        <f>IFERROR(((Analysis_4[[#This Row],[Transport and communication]]/Analysis_4[[#This Row],[PY Transport and communication]])-1),"")</f>
        <v>0.10900473933649302</v>
      </c>
      <c r="S39">
        <v>158.4</v>
      </c>
      <c r="T39" cm="1">
        <f t="array" ref="T39">_xlfn.XLOOKUP(1,($B$5:$B$43=B39-1)*($D$5:$D$43=D39),$S$5:$S$43,"")</f>
        <v>148.6</v>
      </c>
      <c r="U39" s="4">
        <f>IFERROR(((Analysis_4[[#This Row],[General index]]/Analysis_4[[#This Row],[PY General index]])-1),"")</f>
        <v>6.5948855989232946E-2</v>
      </c>
    </row>
    <row r="40" spans="1:21">
      <c r="A40" t="s">
        <v>35</v>
      </c>
      <c r="B40">
        <v>2020</v>
      </c>
      <c r="C40" t="s">
        <v>55</v>
      </c>
      <c r="D40">
        <v>12</v>
      </c>
      <c r="E40" s="1">
        <v>44166</v>
      </c>
      <c r="F40" t="s">
        <v>195</v>
      </c>
      <c r="G40">
        <v>165.4</v>
      </c>
      <c r="H40" cm="1">
        <f t="array" ref="H40">_xlfn.XLOOKUP(1,($B$5:$B$43=B40-1)*($D$5:$D$43=D40),$G$5:$G$43,"")</f>
        <v>155</v>
      </c>
      <c r="I40" s="4">
        <f>IFERROR(((Analysis_4[[#This Row],[Food and beverages]]/Analysis_4[[#This Row],[PY Food and beverages ]])-1),"")</f>
        <v>6.7096774193548425E-2</v>
      </c>
      <c r="J40">
        <v>144.6</v>
      </c>
      <c r="K40" cm="1">
        <f t="array" ref="K40">_xlfn.XLOOKUP(1,($B$5:$B$43=B40-1)*($D$5:$D$43=D40),$J$5:$J$43,"")</f>
        <v>143.69999999999999</v>
      </c>
      <c r="L40" s="4">
        <f>IFERROR(((Analysis_4[[#This Row],[Fuel and light]]/Analysis_4[[#This Row],[PY Fuel and light]])-1),"")</f>
        <v>6.2630480167014113E-3</v>
      </c>
      <c r="M40">
        <v>158.30000000000001</v>
      </c>
      <c r="N40" cm="1">
        <f t="array" ref="N40">_xlfn.XLOOKUP(1,($B$5:$B$43=B40-1)*($D$5:$D$43=D40),$M$5:$M$43,"")</f>
        <v>150.4</v>
      </c>
      <c r="O40" s="4">
        <f>IFERROR(((Analysis_4[[#This Row],[Health]]/Analysis_4[[#This Row],[PY Health]])-1),"")</f>
        <v>5.2526595744680993E-2</v>
      </c>
      <c r="P40">
        <v>140.69999999999999</v>
      </c>
      <c r="Q40" cm="1">
        <f t="array" ref="Q40">_xlfn.XLOOKUP(1,($B$5:$B$43=B40-1)*($D$5:$D$43=D40),$P$5:$P$43,"")</f>
        <v>129.80000000000001</v>
      </c>
      <c r="R40" s="4">
        <f>IFERROR(((Analysis_4[[#This Row],[Transport and communication]]/Analysis_4[[#This Row],[PY Transport and communication]])-1),"")</f>
        <v>8.397534668721085E-2</v>
      </c>
      <c r="S40">
        <v>158.9</v>
      </c>
      <c r="T40" cm="1">
        <f t="array" ref="T40">_xlfn.XLOOKUP(1,($B$5:$B$43=B40-1)*($D$5:$D$43=D40),$S$5:$S$43,"")</f>
        <v>150.4</v>
      </c>
      <c r="U40" s="4">
        <f>IFERROR(((Analysis_4[[#This Row],[General index]]/Analysis_4[[#This Row],[PY General index]])-1),"")</f>
        <v>5.6515957446808596E-2</v>
      </c>
    </row>
    <row r="41" spans="1:21">
      <c r="A41" t="s">
        <v>35</v>
      </c>
      <c r="B41">
        <v>2021</v>
      </c>
      <c r="C41" t="s">
        <v>31</v>
      </c>
      <c r="D41">
        <v>1</v>
      </c>
      <c r="E41" s="1">
        <v>44197</v>
      </c>
      <c r="F41" t="s">
        <v>195</v>
      </c>
      <c r="G41">
        <v>161</v>
      </c>
      <c r="H41" cm="1">
        <f t="array" ref="H41">_xlfn.XLOOKUP(1,($B$5:$B$43=B41-1)*($D$5:$D$43=D41),$G$5:$G$43,"")</f>
        <v>153.5</v>
      </c>
      <c r="I41" s="4">
        <f>IFERROR(((Analysis_4[[#This Row],[Food and beverages]]/Analysis_4[[#This Row],[PY Food and beverages ]])-1),"")</f>
        <v>4.8859934853420217E-2</v>
      </c>
      <c r="J41">
        <v>147.9</v>
      </c>
      <c r="K41" cm="1">
        <f t="array" ref="K41">_xlfn.XLOOKUP(1,($B$5:$B$43=B41-1)*($D$5:$D$43=D41),$J$5:$J$43,"")</f>
        <v>144.6</v>
      </c>
      <c r="L41" s="4">
        <f>IFERROR(((Analysis_4[[#This Row],[Fuel and light]]/Analysis_4[[#This Row],[PY Fuel and light]])-1),"")</f>
        <v>2.2821576763485618E-2</v>
      </c>
      <c r="M41">
        <v>159.30000000000001</v>
      </c>
      <c r="N41" cm="1">
        <f t="array" ref="N41">_xlfn.XLOOKUP(1,($B$5:$B$43=B41-1)*($D$5:$D$43=D41),$M$5:$M$43,"")</f>
        <v>151.19999999999999</v>
      </c>
      <c r="O41" s="4">
        <f>IFERROR(((Analysis_4[[#This Row],[Health]]/Analysis_4[[#This Row],[PY Health]])-1),"")</f>
        <v>5.3571428571428825E-2</v>
      </c>
      <c r="P41">
        <v>141.9</v>
      </c>
      <c r="Q41" cm="1">
        <f t="array" ref="Q41">_xlfn.XLOOKUP(1,($B$5:$B$43=B41-1)*($D$5:$D$43=D41),$P$5:$P$43,"")</f>
        <v>130.9</v>
      </c>
      <c r="R41" s="4">
        <f>IFERROR(((Analysis_4[[#This Row],[Transport and communication]]/Analysis_4[[#This Row],[PY Transport and communication]])-1),"")</f>
        <v>8.4033613445378075E-2</v>
      </c>
      <c r="S41">
        <v>157.30000000000001</v>
      </c>
      <c r="T41" cm="1">
        <f t="array" ref="T41">_xlfn.XLOOKUP(1,($B$5:$B$43=B41-1)*($D$5:$D$43=D41),$S$5:$S$43,"")</f>
        <v>150.19999999999999</v>
      </c>
      <c r="U41" s="4">
        <f>IFERROR(((Analysis_4[[#This Row],[General index]]/Analysis_4[[#This Row],[PY General index]])-1),"")</f>
        <v>4.7270306258322403E-2</v>
      </c>
    </row>
    <row r="42" spans="1:21">
      <c r="A42" t="s">
        <v>35</v>
      </c>
      <c r="B42">
        <v>2021</v>
      </c>
      <c r="C42" t="s">
        <v>36</v>
      </c>
      <c r="D42">
        <v>2</v>
      </c>
      <c r="E42" s="1">
        <v>44228</v>
      </c>
      <c r="F42" t="s">
        <v>195</v>
      </c>
      <c r="G42">
        <v>156.9</v>
      </c>
      <c r="H42" cm="1">
        <f t="array" ref="H42">_xlfn.XLOOKUP(1,($B$5:$B$43=B42-1)*($D$5:$D$43=D42),$G$5:$G$43,"")</f>
        <v>150.5</v>
      </c>
      <c r="I42" s="4">
        <f>IFERROR(((Analysis_4[[#This Row],[Food and beverages]]/Analysis_4[[#This Row],[PY Food and beverages ]])-1),"")</f>
        <v>4.2524916943521562E-2</v>
      </c>
      <c r="J42">
        <v>152.4</v>
      </c>
      <c r="K42" cm="1">
        <f t="array" ref="K42">_xlfn.XLOOKUP(1,($B$5:$B$43=B42-1)*($D$5:$D$43=D42),$J$5:$J$43,"")</f>
        <v>147.19999999999999</v>
      </c>
      <c r="L42" s="4">
        <f>IFERROR(((Analysis_4[[#This Row],[Fuel and light]]/Analysis_4[[#This Row],[PY Fuel and light]])-1),"")</f>
        <v>3.5326086956521952E-2</v>
      </c>
      <c r="M42">
        <v>161.30000000000001</v>
      </c>
      <c r="N42" cm="1">
        <f t="array" ref="N42">_xlfn.XLOOKUP(1,($B$5:$B$43=B42-1)*($D$5:$D$43=D42),$M$5:$M$43,"")</f>
        <v>151.69999999999999</v>
      </c>
      <c r="O42" s="4">
        <f>IFERROR(((Analysis_4[[#This Row],[Health]]/Analysis_4[[#This Row],[PY Health]])-1),"")</f>
        <v>6.3282794990112246E-2</v>
      </c>
      <c r="P42">
        <v>145.1</v>
      </c>
      <c r="Q42" cm="1">
        <f t="array" ref="Q42">_xlfn.XLOOKUP(1,($B$5:$B$43=B42-1)*($D$5:$D$43=D42),$P$5:$P$43,"")</f>
        <v>130.30000000000001</v>
      </c>
      <c r="R42" s="4">
        <f>IFERROR(((Analysis_4[[#This Row],[Transport and communication]]/Analysis_4[[#This Row],[PY Transport and communication]])-1),"")</f>
        <v>0.11358403683806584</v>
      </c>
      <c r="S42">
        <v>156.6</v>
      </c>
      <c r="T42" cm="1">
        <f t="array" ref="T42">_xlfn.XLOOKUP(1,($B$5:$B$43=B42-1)*($D$5:$D$43=D42),$S$5:$S$43,"")</f>
        <v>149.1</v>
      </c>
      <c r="U42" s="4">
        <f>IFERROR(((Analysis_4[[#This Row],[General index]]/Analysis_4[[#This Row],[PY General index]])-1),"")</f>
        <v>5.0301810865191143E-2</v>
      </c>
    </row>
    <row r="43" spans="1:21">
      <c r="A43" t="s">
        <v>35</v>
      </c>
      <c r="B43">
        <v>2021</v>
      </c>
      <c r="C43" t="s">
        <v>38</v>
      </c>
      <c r="D43">
        <v>3</v>
      </c>
      <c r="E43" s="1">
        <v>44256</v>
      </c>
      <c r="F43" t="s">
        <v>195</v>
      </c>
      <c r="G43">
        <v>156.69999999999999</v>
      </c>
      <c r="H43" cm="1">
        <f t="array" ref="H43">_xlfn.XLOOKUP(1,($B$5:$B$43=B43-1)*($D$5:$D$43=D43),$G$5:$G$43,"")</f>
        <v>148.9</v>
      </c>
      <c r="I43" s="4">
        <f>IFERROR(((Analysis_4[[#This Row],[Food and beverages]]/Analysis_4[[#This Row],[PY Food and beverages ]])-1),"")</f>
        <v>5.2384150436534549E-2</v>
      </c>
      <c r="J43">
        <v>155.5</v>
      </c>
      <c r="K43" cm="1">
        <f t="array" ref="K43">_xlfn.XLOOKUP(1,($B$5:$B$43=B43-1)*($D$5:$D$43=D43),$J$5:$J$43,"")</f>
        <v>148.9</v>
      </c>
      <c r="L43" s="4">
        <f>IFERROR(((Analysis_4[[#This Row],[Fuel and light]]/Analysis_4[[#This Row],[PY Fuel and light]])-1),"")</f>
        <v>4.4325050369375285E-2</v>
      </c>
      <c r="M43">
        <v>161.69999999999999</v>
      </c>
      <c r="N43" cm="1">
        <f t="array" ref="N43">_xlfn.XLOOKUP(1,($B$5:$B$43=B43-1)*($D$5:$D$43=D43),$M$5:$M$43,"")</f>
        <v>152.30000000000001</v>
      </c>
      <c r="O43" s="4">
        <f>IFERROR(((Analysis_4[[#This Row],[Health]]/Analysis_4[[#This Row],[PY Health]])-1),"")</f>
        <v>6.1720288903479803E-2</v>
      </c>
      <c r="P43">
        <v>146.19999999999999</v>
      </c>
      <c r="Q43" cm="1">
        <f t="array" ref="Q43">_xlfn.XLOOKUP(1,($B$5:$B$43=B43-1)*($D$5:$D$43=D43),$P$5:$P$43,"")</f>
        <v>129.9</v>
      </c>
      <c r="R43" s="4">
        <f>IFERROR(((Analysis_4[[#This Row],[Transport and communication]]/Analysis_4[[#This Row],[PY Transport and communication]])-1),"")</f>
        <v>0.12548113933795224</v>
      </c>
      <c r="S43">
        <v>156.80000000000001</v>
      </c>
      <c r="T43" cm="1">
        <f t="array" ref="T43">_xlfn.XLOOKUP(1,($B$5:$B$43=B43-1)*($D$5:$D$43=D43),$S$5:$S$43,"")</f>
        <v>148.6</v>
      </c>
      <c r="U43" s="4">
        <f>IFERROR(((Analysis_4[[#This Row],[General index]]/Analysis_4[[#This Row],[PY General index]])-1),"")</f>
        <v>5.5181695827725585E-2</v>
      </c>
    </row>
    <row r="45" spans="1:21">
      <c r="D45" s="58" t="s">
        <v>166</v>
      </c>
      <c r="E45" t="s">
        <v>196</v>
      </c>
    </row>
    <row r="47" spans="1:21">
      <c r="E47" s="58" t="s">
        <v>197</v>
      </c>
      <c r="H47" s="61"/>
      <c r="I47"/>
      <c r="L47"/>
      <c r="O47"/>
      <c r="R47"/>
      <c r="U47"/>
    </row>
    <row r="48" spans="1:21">
      <c r="D48" s="58" t="s">
        <v>198</v>
      </c>
      <c r="E48" t="s">
        <v>193</v>
      </c>
      <c r="F48" t="s">
        <v>194</v>
      </c>
      <c r="G48" t="s">
        <v>195</v>
      </c>
      <c r="H48" s="60" t="s">
        <v>199</v>
      </c>
      <c r="I48"/>
      <c r="L48"/>
      <c r="O48"/>
      <c r="R48"/>
      <c r="U48"/>
    </row>
    <row r="49" spans="4:9">
      <c r="D49" s="59" t="s">
        <v>200</v>
      </c>
      <c r="E49" s="4">
        <v>5.4710051438602858E-2</v>
      </c>
      <c r="F49" s="4">
        <v>7.8204199855177459E-2</v>
      </c>
      <c r="G49" s="4">
        <v>6.9785682823578624E-2</v>
      </c>
      <c r="H49" s="4">
        <f>GETPIVOTDATA("Average of YoY% Food and beverages",$D$47,"COVID Period","Post-COVID")-GETPIVOTDATA("Average of YoY% Food and beverages",$D$47,"COVID Period","Pre-COVID")</f>
        <v>1.5075631384975766E-2</v>
      </c>
      <c r="I49"/>
    </row>
    <row r="50" spans="4:9">
      <c r="D50" s="59" t="s">
        <v>201</v>
      </c>
      <c r="E50" s="4">
        <v>9.1827132313952817E-3</v>
      </c>
      <c r="F50" s="4">
        <v>6.5855404438081688E-2</v>
      </c>
      <c r="G50" s="4">
        <v>2.2239684517956954E-2</v>
      </c>
      <c r="H50" s="4">
        <f>GETPIVOTDATA("Average of YoY% Fuel and light",$D$47,"COVID Period","Post-COVID")-GETPIVOTDATA("Average of YoY% Fuel and light",$D$47,"COVID Period","Pre-COVID")</f>
        <v>1.3056971286561673E-2</v>
      </c>
      <c r="I50"/>
    </row>
    <row r="51" spans="4:9">
      <c r="D51" s="59" t="s">
        <v>202</v>
      </c>
      <c r="E51" s="4">
        <v>6.6503765623921726E-2</v>
      </c>
      <c r="F51" s="4">
        <v>4.1723666210670363E-2</v>
      </c>
      <c r="G51" s="4">
        <v>4.7688243928811345E-2</v>
      </c>
      <c r="H51" s="4">
        <f>GETPIVOTDATA("Average of YoY% Health",$D$47,"COVID Period","Post-COVID")-GETPIVOTDATA("Average of YoY% Health",$D$47,"COVID Period","Pre-COVID")</f>
        <v>-1.8815521695110381E-2</v>
      </c>
    </row>
    <row r="52" spans="4:9">
      <c r="D52" s="59" t="s">
        <v>203</v>
      </c>
      <c r="E52" s="4">
        <v>2.3727306010961402E-2</v>
      </c>
      <c r="F52" s="4">
        <v>4.2536115569823618E-2</v>
      </c>
      <c r="G52" s="4">
        <v>9.3113499082305193E-2</v>
      </c>
      <c r="H52" s="4">
        <f>GETPIVOTDATA("Average of YoY% Transport and communication",$D$47,"COVID Period","Post-COVID")-GETPIVOTDATA("Average of YoY% Transport and communication",$D$47,"COVID Period","Pre-COVID")</f>
        <v>6.9386193071343791E-2</v>
      </c>
    </row>
    <row r="53" spans="4:9">
      <c r="D53" s="59" t="s">
        <v>204</v>
      </c>
      <c r="E53" s="4">
        <v>4.5080683192674553E-2</v>
      </c>
      <c r="F53" s="4">
        <v>5.8404558404558271E-2</v>
      </c>
      <c r="G53" s="4">
        <v>5.8049354936368723E-2</v>
      </c>
      <c r="H53" s="4">
        <f>GETPIVOTDATA("Average of YoY% General index",$D$47,"COVID Period","Post-COVID")-GETPIVOTDATA("Average of YoY% General index",$D$47,"COVID Period","Pre-COVID")</f>
        <v>1.296867174369417E-2</v>
      </c>
    </row>
  </sheetData>
  <phoneticPr fontId="2" type="noConversion"/>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45A6-B2F7-48A0-A6F0-B111AF538E49}">
  <dimension ref="A4:BI68"/>
  <sheetViews>
    <sheetView topLeftCell="G41" zoomScaleNormal="100" workbookViewId="0">
      <selection activeCell="W81" sqref="W81"/>
    </sheetView>
  </sheetViews>
  <sheetFormatPr defaultRowHeight="14.45"/>
  <cols>
    <col min="1" max="1" width="11.140625" bestFit="1" customWidth="1"/>
    <col min="2" max="2" width="6.85546875" bestFit="1" customWidth="1"/>
    <col min="3" max="3" width="9.7109375" bestFit="1" customWidth="1"/>
    <col min="4" max="4" width="15.5703125" bestFit="1" customWidth="1"/>
    <col min="5" max="5" width="7.140625" bestFit="1" customWidth="1"/>
    <col min="6" max="6" width="28.7109375" bestFit="1" customWidth="1"/>
    <col min="7" max="7" width="30.42578125" bestFit="1" customWidth="1"/>
    <col min="8" max="8" width="21" bestFit="1" customWidth="1"/>
    <col min="9" max="9" width="21" customWidth="1"/>
    <col min="10" max="10" width="14.140625" bestFit="1" customWidth="1"/>
    <col min="11" max="11" width="14.140625" customWidth="1"/>
    <col min="12" max="12" width="6.5703125" bestFit="1" customWidth="1"/>
    <col min="13" max="13" width="8.7109375" customWidth="1"/>
    <col min="14" max="14" width="18.140625" bestFit="1" customWidth="1"/>
    <col min="15" max="15" width="18.140625" customWidth="1"/>
    <col min="16" max="16" width="13.42578125" bestFit="1" customWidth="1"/>
    <col min="17" max="17" width="13.42578125" customWidth="1"/>
    <col min="18" max="18" width="8" bestFit="1" customWidth="1"/>
    <col min="19" max="19" width="8" customWidth="1"/>
    <col min="20" max="20" width="12.42578125" bestFit="1" customWidth="1"/>
    <col min="21" max="21" width="12.42578125" customWidth="1"/>
    <col min="22" max="22" width="20.140625" bestFit="1" customWidth="1"/>
    <col min="23" max="23" width="20.140625" customWidth="1"/>
    <col min="24" max="24" width="23.5703125" bestFit="1" customWidth="1"/>
    <col min="25" max="25" width="23.5703125" customWidth="1"/>
    <col min="26" max="26" width="8.85546875" bestFit="1" customWidth="1"/>
    <col min="27" max="27" width="12.7109375" customWidth="1"/>
    <col min="28" max="28" width="23.7109375" bestFit="1" customWidth="1"/>
    <col min="29" max="29" width="23.7109375" customWidth="1"/>
    <col min="30" max="30" width="33.28515625" bestFit="1" customWidth="1"/>
    <col min="31" max="31" width="33.28515625" customWidth="1"/>
    <col min="32" max="32" width="19.7109375" bestFit="1" customWidth="1"/>
    <col min="33" max="33" width="19.7109375" customWidth="1"/>
    <col min="34" max="34" width="27.28515625" bestFit="1" customWidth="1"/>
    <col min="35" max="35" width="27.28515625" customWidth="1"/>
    <col min="36" max="36" width="10.140625" bestFit="1" customWidth="1"/>
    <col min="37" max="37" width="10.140625" customWidth="1"/>
    <col min="38" max="38" width="10.85546875" bestFit="1" customWidth="1"/>
    <col min="39" max="39" width="10.85546875" customWidth="1"/>
    <col min="40" max="40" width="21.28515625" bestFit="1" customWidth="1"/>
    <col min="41" max="41" width="21.28515625" customWidth="1"/>
    <col min="42" max="42" width="9.85546875" bestFit="1" customWidth="1"/>
    <col min="43" max="43" width="9.85546875" customWidth="1"/>
    <col min="44" max="44" width="14.28515625" bestFit="1" customWidth="1"/>
    <col min="45" max="45" width="14.28515625" customWidth="1"/>
    <col min="46" max="46" width="28.42578125" bestFit="1" customWidth="1"/>
    <col min="47" max="47" width="28.42578125" customWidth="1"/>
    <col min="48" max="48" width="8.7109375" bestFit="1" customWidth="1"/>
    <col min="49" max="49" width="8.7109375" customWidth="1"/>
    <col min="50" max="50" width="28.42578125" bestFit="1" customWidth="1"/>
    <col min="51" max="51" width="28.42578125" customWidth="1"/>
    <col min="52" max="52" width="26.28515625" bestFit="1" customWidth="1"/>
    <col min="53" max="53" width="26.28515625" customWidth="1"/>
    <col min="54" max="54" width="11.5703125" bestFit="1" customWidth="1"/>
    <col min="55" max="55" width="11.5703125" customWidth="1"/>
    <col min="56" max="56" width="24.28515625" bestFit="1" customWidth="1"/>
    <col min="57" max="57" width="24.28515625" customWidth="1"/>
    <col min="58" max="58" width="15.140625" bestFit="1" customWidth="1"/>
    <col min="59" max="59" width="15.140625" customWidth="1"/>
    <col min="60" max="60" width="14.7109375" bestFit="1" customWidth="1"/>
    <col min="61" max="61" width="11.42578125" customWidth="1"/>
  </cols>
  <sheetData>
    <row r="4" spans="1:61">
      <c r="A4" t="s">
        <v>0</v>
      </c>
      <c r="B4" t="s">
        <v>1</v>
      </c>
      <c r="C4" t="s">
        <v>2</v>
      </c>
      <c r="D4" t="s">
        <v>165</v>
      </c>
      <c r="E4" t="s">
        <v>166</v>
      </c>
      <c r="F4" t="s">
        <v>205</v>
      </c>
      <c r="G4" t="s">
        <v>206</v>
      </c>
      <c r="H4" t="s">
        <v>3</v>
      </c>
      <c r="I4" s="4" t="s">
        <v>207</v>
      </c>
      <c r="J4" t="s">
        <v>4</v>
      </c>
      <c r="K4" s="4" t="s">
        <v>208</v>
      </c>
      <c r="L4" s="33" t="s">
        <v>5</v>
      </c>
      <c r="M4" s="33" t="s">
        <v>209</v>
      </c>
      <c r="N4" s="34" t="s">
        <v>6</v>
      </c>
      <c r="O4" t="s">
        <v>210</v>
      </c>
      <c r="P4" t="s">
        <v>7</v>
      </c>
      <c r="Q4" t="s">
        <v>211</v>
      </c>
      <c r="R4" t="s">
        <v>8</v>
      </c>
      <c r="S4" t="s">
        <v>212</v>
      </c>
      <c r="T4" t="s">
        <v>9</v>
      </c>
      <c r="U4" t="s">
        <v>213</v>
      </c>
      <c r="V4" t="s">
        <v>10</v>
      </c>
      <c r="W4" t="s">
        <v>214</v>
      </c>
      <c r="X4" t="s">
        <v>11</v>
      </c>
      <c r="Y4" t="s">
        <v>215</v>
      </c>
      <c r="Z4" t="s">
        <v>12</v>
      </c>
      <c r="AA4" t="s">
        <v>216</v>
      </c>
      <c r="AB4" t="s">
        <v>173</v>
      </c>
      <c r="AC4" t="s">
        <v>217</v>
      </c>
      <c r="AD4" t="s">
        <v>174</v>
      </c>
      <c r="AE4" t="s">
        <v>218</v>
      </c>
      <c r="AF4" t="s">
        <v>15</v>
      </c>
      <c r="AG4" t="s">
        <v>219</v>
      </c>
      <c r="AH4" t="s">
        <v>16</v>
      </c>
      <c r="AI4" t="s">
        <v>220</v>
      </c>
      <c r="AJ4" t="s">
        <v>17</v>
      </c>
      <c r="AK4" t="s">
        <v>221</v>
      </c>
      <c r="AL4" t="s">
        <v>18</v>
      </c>
      <c r="AM4" t="s">
        <v>222</v>
      </c>
      <c r="AN4" t="s">
        <v>19</v>
      </c>
      <c r="AO4" t="s">
        <v>223</v>
      </c>
      <c r="AP4" t="s">
        <v>20</v>
      </c>
      <c r="AQ4" t="s">
        <v>224</v>
      </c>
      <c r="AR4" t="s">
        <v>21</v>
      </c>
      <c r="AS4" t="s">
        <v>225</v>
      </c>
      <c r="AT4" t="s">
        <v>22</v>
      </c>
      <c r="AU4" t="s">
        <v>226</v>
      </c>
      <c r="AV4" t="s">
        <v>23</v>
      </c>
      <c r="AW4" t="s">
        <v>227</v>
      </c>
      <c r="AX4" t="s">
        <v>24</v>
      </c>
      <c r="AY4" t="s">
        <v>228</v>
      </c>
      <c r="AZ4" t="s">
        <v>25</v>
      </c>
      <c r="BA4" t="s">
        <v>229</v>
      </c>
      <c r="BB4" t="s">
        <v>26</v>
      </c>
      <c r="BC4" t="s">
        <v>230</v>
      </c>
      <c r="BD4" t="s">
        <v>27</v>
      </c>
      <c r="BE4" t="s">
        <v>231</v>
      </c>
      <c r="BF4" t="s">
        <v>28</v>
      </c>
      <c r="BG4" t="s">
        <v>232</v>
      </c>
      <c r="BH4" t="s">
        <v>29</v>
      </c>
      <c r="BI4" t="s">
        <v>233</v>
      </c>
    </row>
    <row r="5" spans="1:61" hidden="1">
      <c r="A5" t="s">
        <v>35</v>
      </c>
      <c r="B5">
        <v>2020</v>
      </c>
      <c r="C5" t="s">
        <v>55</v>
      </c>
      <c r="D5">
        <v>12</v>
      </c>
      <c r="E5" s="1">
        <v>44166</v>
      </c>
      <c r="G5" s="32"/>
      <c r="H5" s="32">
        <v>146</v>
      </c>
      <c r="I5" s="4"/>
      <c r="J5" s="32">
        <v>191</v>
      </c>
      <c r="K5" s="4"/>
      <c r="L5" s="34">
        <v>175.3</v>
      </c>
      <c r="M5" s="33"/>
      <c r="N5" s="34">
        <v>154.1</v>
      </c>
      <c r="O5" s="32"/>
      <c r="P5" s="32">
        <v>146.6</v>
      </c>
      <c r="Q5" s="32"/>
      <c r="R5" s="32">
        <v>147.69999999999999</v>
      </c>
      <c r="S5" s="32"/>
      <c r="T5" s="32">
        <v>230.5</v>
      </c>
      <c r="U5" s="32"/>
      <c r="V5" s="32">
        <v>160.19999999999999</v>
      </c>
      <c r="W5" s="32"/>
      <c r="X5" s="32">
        <v>115.3</v>
      </c>
      <c r="Y5" s="32"/>
      <c r="Z5" s="32">
        <v>163</v>
      </c>
      <c r="AA5" s="32"/>
      <c r="AB5" s="32">
        <v>149.19999999999999</v>
      </c>
      <c r="AC5" s="32"/>
      <c r="AD5" s="32">
        <v>164.8</v>
      </c>
      <c r="AE5" s="32"/>
      <c r="AF5" s="32">
        <v>165.4</v>
      </c>
      <c r="AG5" s="32"/>
      <c r="AH5" s="32">
        <v>185.4</v>
      </c>
      <c r="AI5" s="32"/>
      <c r="AJ5" s="32">
        <v>155</v>
      </c>
      <c r="AK5" s="32"/>
      <c r="AL5" s="32">
        <v>145.4</v>
      </c>
      <c r="AM5" s="32"/>
      <c r="AN5" s="32">
        <v>153.6</v>
      </c>
      <c r="AO5" s="32"/>
      <c r="AP5" s="32">
        <v>158.4</v>
      </c>
      <c r="AQ5" s="32"/>
      <c r="AR5" s="32">
        <v>144.6</v>
      </c>
      <c r="AS5" s="32"/>
      <c r="AT5" s="32">
        <v>149.69999999999999</v>
      </c>
      <c r="AU5" s="32"/>
      <c r="AV5" s="32">
        <v>158.30000000000001</v>
      </c>
      <c r="AW5" s="32"/>
      <c r="AX5" s="32">
        <v>140.69999999999999</v>
      </c>
      <c r="AY5" s="32"/>
      <c r="AZ5" s="32">
        <v>148.5</v>
      </c>
      <c r="BA5" s="32"/>
      <c r="BB5" s="32">
        <v>159.4</v>
      </c>
      <c r="BC5" s="32"/>
      <c r="BD5" s="32">
        <v>157.1</v>
      </c>
      <c r="BE5" s="32"/>
      <c r="BF5" s="32">
        <v>151.19999999999999</v>
      </c>
      <c r="BG5" s="32"/>
      <c r="BH5" s="32">
        <v>158.9</v>
      </c>
      <c r="BI5" s="32"/>
    </row>
    <row r="6" spans="1:61">
      <c r="A6" t="s">
        <v>35</v>
      </c>
      <c r="B6">
        <v>2021</v>
      </c>
      <c r="C6" t="s">
        <v>31</v>
      </c>
      <c r="D6">
        <v>1</v>
      </c>
      <c r="E6" s="1">
        <v>44197</v>
      </c>
      <c r="F6">
        <v>121.01</v>
      </c>
      <c r="G6" s="32">
        <v>9.9400000000000002E-2</v>
      </c>
      <c r="H6" s="32">
        <v>144.9</v>
      </c>
      <c r="I6" s="4">
        <f>(H6/H5)-1</f>
        <v>-7.534246575342407E-3</v>
      </c>
      <c r="J6" s="32">
        <v>190.1</v>
      </c>
      <c r="K6" s="4">
        <f>(J6/J5)-1</f>
        <v>-4.7120418848167755E-3</v>
      </c>
      <c r="L6" s="34">
        <v>175.3</v>
      </c>
      <c r="M6" s="4">
        <f>(Analysis_5[[#This Row],[Egg]]/L5)-1</f>
        <v>0</v>
      </c>
      <c r="N6" s="34">
        <v>154.1</v>
      </c>
      <c r="O6" s="4">
        <f>(N6/N5)-1</f>
        <v>0</v>
      </c>
      <c r="P6" s="32">
        <v>150.9</v>
      </c>
      <c r="Q6" s="4">
        <f>(P6/P5)-1</f>
        <v>2.9331514324693053E-2</v>
      </c>
      <c r="R6" s="32">
        <v>149.6</v>
      </c>
      <c r="S6" s="4">
        <f>(R6/R5)-1</f>
        <v>1.2863913337846977E-2</v>
      </c>
      <c r="T6" s="32">
        <v>194.2</v>
      </c>
      <c r="U6" s="4">
        <f>(T6/T5)-1</f>
        <v>-0.15748373101952284</v>
      </c>
      <c r="V6" s="32">
        <v>160.4</v>
      </c>
      <c r="W6" s="4">
        <f>(V6/V5)-1</f>
        <v>1.2484394506866447E-3</v>
      </c>
      <c r="X6" s="32">
        <v>114.6</v>
      </c>
      <c r="Y6" s="4">
        <f>(X6/X5)-1</f>
        <v>-6.0711188204684019E-3</v>
      </c>
      <c r="Z6" s="32">
        <v>164</v>
      </c>
      <c r="AA6" s="4">
        <f>(Z6/Z5)-1</f>
        <v>6.1349693251533388E-3</v>
      </c>
      <c r="AB6" s="32">
        <v>151.80000000000001</v>
      </c>
      <c r="AC6" s="4">
        <f>(AB6/AB5)-1</f>
        <v>1.7426273458445163E-2</v>
      </c>
      <c r="AD6" s="32">
        <v>165.6</v>
      </c>
      <c r="AE6" s="4">
        <f>(AD6/AD5)-1</f>
        <v>4.8543689320388328E-3</v>
      </c>
      <c r="AF6" s="32">
        <v>161</v>
      </c>
      <c r="AG6" s="4">
        <f>(AF6/AF5)-1</f>
        <v>-2.6602176541717037E-2</v>
      </c>
      <c r="AH6" s="32">
        <v>186.5</v>
      </c>
      <c r="AI6" s="4">
        <f>(AH6/AH5)-1</f>
        <v>5.9331175836030425E-3</v>
      </c>
      <c r="AJ6" s="32">
        <v>155.5</v>
      </c>
      <c r="AK6" s="4">
        <f>(AJ6/AJ5)-1</f>
        <v>3.225806451612856E-3</v>
      </c>
      <c r="AL6" s="32">
        <v>146.1</v>
      </c>
      <c r="AM6" s="4">
        <f>(AL6/AL5)-1</f>
        <v>4.8143053645115508E-3</v>
      </c>
      <c r="AN6" s="32">
        <v>154.19999999999999</v>
      </c>
      <c r="AO6" s="4">
        <f>(AN6/AN5)-1</f>
        <v>3.90625E-3</v>
      </c>
      <c r="AP6" s="32">
        <v>157.69999999999999</v>
      </c>
      <c r="AQ6" s="4">
        <f>(AP6/AP5)-1</f>
        <v>-4.4191919191920448E-3</v>
      </c>
      <c r="AR6" s="32">
        <v>147.9</v>
      </c>
      <c r="AS6" s="4">
        <f>(AR6/AR5)-1</f>
        <v>2.2821576763485618E-2</v>
      </c>
      <c r="AT6" s="32">
        <v>150</v>
      </c>
      <c r="AU6" s="4">
        <f>(AT6/AT5)-1</f>
        <v>2.0040080160321772E-3</v>
      </c>
      <c r="AV6" s="32">
        <v>159.30000000000001</v>
      </c>
      <c r="AW6" s="4">
        <f>(AV6/AV5)-1</f>
        <v>6.3171193935565029E-3</v>
      </c>
      <c r="AX6" s="32">
        <v>141.9</v>
      </c>
      <c r="AY6" s="4">
        <f>(AX6/AX5)-1</f>
        <v>8.5287846481878482E-3</v>
      </c>
      <c r="AZ6" s="32">
        <v>149.6</v>
      </c>
      <c r="BA6" s="4">
        <f>(AZ6/AZ5)-1</f>
        <v>7.4074074074073071E-3</v>
      </c>
      <c r="BB6" s="32">
        <v>159.19999999999999</v>
      </c>
      <c r="BC6" s="4">
        <f>(BB6/BB5)-1</f>
        <v>-1.2547051442911572E-3</v>
      </c>
      <c r="BD6" s="32">
        <v>156.80000000000001</v>
      </c>
      <c r="BE6" s="4">
        <f>(BD6/BD5)-1</f>
        <v>-1.9096117122850975E-3</v>
      </c>
      <c r="BF6" s="32">
        <v>151.9</v>
      </c>
      <c r="BG6" s="4">
        <f>(BF6/BF5)-1</f>
        <v>4.6296296296297612E-3</v>
      </c>
      <c r="BH6" s="32">
        <v>157.30000000000001</v>
      </c>
      <c r="BI6" s="4">
        <f>(BH6/BH5)-1</f>
        <v>-1.0069225928256764E-2</v>
      </c>
    </row>
    <row r="7" spans="1:61">
      <c r="A7" t="s">
        <v>35</v>
      </c>
      <c r="B7">
        <v>2021</v>
      </c>
      <c r="C7" t="s">
        <v>36</v>
      </c>
      <c r="D7">
        <v>2</v>
      </c>
      <c r="E7" s="1">
        <v>44228</v>
      </c>
      <c r="F7">
        <v>136.77000000000001</v>
      </c>
      <c r="G7" s="32">
        <v>0.13020000000000001</v>
      </c>
      <c r="H7" s="32">
        <v>144.30000000000001</v>
      </c>
      <c r="I7" s="4">
        <f>(H7/H6)-1</f>
        <v>-4.1407867494823725E-3</v>
      </c>
      <c r="J7" s="32">
        <v>186.5</v>
      </c>
      <c r="K7" s="4">
        <f t="shared" ref="K7:K34" si="0">(J7/J6)-1</f>
        <v>-1.8937401367701168E-2</v>
      </c>
      <c r="L7" s="34">
        <v>168.7</v>
      </c>
      <c r="M7" s="4">
        <f>(Analysis_5[[#This Row],[Egg]]/L6)-1</f>
        <v>-3.7649743297204941E-2</v>
      </c>
      <c r="N7" s="34">
        <v>154.69999999999999</v>
      </c>
      <c r="O7" s="4">
        <f>(N7/N6)-1</f>
        <v>3.8935756002596023E-3</v>
      </c>
      <c r="P7" s="32">
        <v>158.69999999999999</v>
      </c>
      <c r="Q7" s="4">
        <f t="shared" ref="Q7:Q34" si="1">(P7/P6)-1</f>
        <v>5.1689860834990053E-2</v>
      </c>
      <c r="R7" s="32">
        <v>150.69999999999999</v>
      </c>
      <c r="S7" s="4">
        <f t="shared" ref="S7:S34" si="2">(R7/R6)-1</f>
        <v>7.3529411764705621E-3</v>
      </c>
      <c r="T7" s="32">
        <v>160</v>
      </c>
      <c r="U7" s="4">
        <f t="shared" ref="U7:U34" si="3">(T7/T6)-1</f>
        <v>-0.17610710607621005</v>
      </c>
      <c r="V7" s="32">
        <v>158.80000000000001</v>
      </c>
      <c r="W7" s="4">
        <f t="shared" ref="W7:W34" si="4">(V7/V6)-1</f>
        <v>-9.9750623441395847E-3</v>
      </c>
      <c r="X7" s="32">
        <v>112.8</v>
      </c>
      <c r="Y7" s="4">
        <f t="shared" ref="Y7:Y34" si="5">(X7/X6)-1</f>
        <v>-1.5706806282722474E-2</v>
      </c>
      <c r="Z7" s="32">
        <v>164.2</v>
      </c>
      <c r="AA7" s="4">
        <f t="shared" ref="AA7:AA34" si="6">(Z7/Z6)-1</f>
        <v>1.2195121951219523E-3</v>
      </c>
      <c r="AB7" s="32">
        <v>155.5</v>
      </c>
      <c r="AC7" s="4">
        <f t="shared" ref="AC7:AC34" si="7">(AB7/AB6)-1</f>
        <v>2.4374176548089599E-2</v>
      </c>
      <c r="AD7" s="32">
        <v>167.5</v>
      </c>
      <c r="AE7" s="4">
        <f t="shared" ref="AE7:AE34" si="8">(AD7/AD6)-1</f>
        <v>1.1473429951690761E-2</v>
      </c>
      <c r="AF7" s="32">
        <v>156.9</v>
      </c>
      <c r="AG7" s="4">
        <f t="shared" ref="AG7:AG34" si="9">(AF7/AF6)-1</f>
        <v>-2.5465838509316718E-2</v>
      </c>
      <c r="AH7" s="32">
        <v>188.3</v>
      </c>
      <c r="AI7" s="4">
        <f t="shared" ref="AI7:AI34" si="10">(AH7/AH6)-1</f>
        <v>9.65147453083115E-3</v>
      </c>
      <c r="AJ7" s="32">
        <v>157.19999999999999</v>
      </c>
      <c r="AK7" s="4">
        <f t="shared" ref="AK7:AK34" si="11">(AJ7/AJ6)-1</f>
        <v>1.0932475884244397E-2</v>
      </c>
      <c r="AL7" s="32">
        <v>147.4</v>
      </c>
      <c r="AM7" s="4">
        <f t="shared" ref="AM7:AM34" si="12">(AL7/AL6)-1</f>
        <v>8.8980150581794426E-3</v>
      </c>
      <c r="AN7" s="32">
        <v>155.80000000000001</v>
      </c>
      <c r="AO7" s="4">
        <f t="shared" ref="AO7:AO34" si="13">(AN7/AN6)-1</f>
        <v>1.0376134889753752E-2</v>
      </c>
      <c r="AP7" s="32">
        <v>159.80000000000001</v>
      </c>
      <c r="AQ7" s="4">
        <f t="shared" ref="AQ7:AQ34" si="14">(AP7/AP6)-1</f>
        <v>1.3316423589093462E-2</v>
      </c>
      <c r="AR7" s="32">
        <v>152.4</v>
      </c>
      <c r="AS7" s="4">
        <f t="shared" ref="AS7:AS34" si="15">(AR7/AR6)-1</f>
        <v>3.0425963488843744E-2</v>
      </c>
      <c r="AT7" s="32">
        <v>150.9</v>
      </c>
      <c r="AU7" s="4">
        <f t="shared" ref="AU7:AU34" si="16">(AT7/AT6)-1</f>
        <v>6.0000000000000053E-3</v>
      </c>
      <c r="AV7" s="32">
        <v>161.30000000000001</v>
      </c>
      <c r="AW7" s="4">
        <f t="shared" ref="AW7:AW34" si="17">(AV7/AV6)-1</f>
        <v>1.2554927809165006E-2</v>
      </c>
      <c r="AX7" s="32">
        <v>145.1</v>
      </c>
      <c r="AY7" s="4">
        <f t="shared" ref="AY7:AY34" si="18">(AX7/AX6)-1</f>
        <v>2.2551092318534138E-2</v>
      </c>
      <c r="AZ7" s="32">
        <v>151.5</v>
      </c>
      <c r="BA7" s="4">
        <f t="shared" ref="BA7:BA34" si="19">(AZ7/AZ6)-1</f>
        <v>1.2700534759358284E-2</v>
      </c>
      <c r="BB7" s="32">
        <v>159.5</v>
      </c>
      <c r="BC7" s="4">
        <f t="shared" ref="BC7:BC34" si="20">(BB7/BB6)-1</f>
        <v>1.8844221105527303E-3</v>
      </c>
      <c r="BD7" s="32">
        <v>155.80000000000001</v>
      </c>
      <c r="BE7" s="4">
        <f t="shared" ref="BE7:BE34" si="21">(BD7/BD6)-1</f>
        <v>-6.3775510204081565E-3</v>
      </c>
      <c r="BF7" s="32">
        <v>153.4</v>
      </c>
      <c r="BG7" s="4">
        <f t="shared" ref="BG7:BG34" si="22">(BF7/BF6)-1</f>
        <v>9.8749177090191598E-3</v>
      </c>
      <c r="BH7" s="32">
        <v>156.6</v>
      </c>
      <c r="BI7" s="4">
        <f t="shared" ref="BI7:BI34" si="23">(BH7/BH6)-1</f>
        <v>-4.4500953591863901E-3</v>
      </c>
    </row>
    <row r="8" spans="1:61">
      <c r="A8" t="s">
        <v>35</v>
      </c>
      <c r="B8">
        <v>2021</v>
      </c>
      <c r="C8" t="s">
        <v>38</v>
      </c>
      <c r="D8">
        <v>3</v>
      </c>
      <c r="E8" s="1">
        <v>44256</v>
      </c>
      <c r="F8">
        <v>144.97</v>
      </c>
      <c r="G8" s="32">
        <v>0.06</v>
      </c>
      <c r="H8" s="32">
        <v>144.1</v>
      </c>
      <c r="I8" s="4">
        <f t="shared" ref="I8:I34" si="24">(H8/H7)-1</f>
        <v>-1.3860013860015341E-3</v>
      </c>
      <c r="J8" s="32">
        <v>192.2</v>
      </c>
      <c r="K8" s="4">
        <f t="shared" si="0"/>
        <v>3.0563002680965123E-2</v>
      </c>
      <c r="L8" s="34">
        <v>163.80000000000001</v>
      </c>
      <c r="M8" s="4">
        <f>(Analysis_5[[#This Row],[Egg]]/L7)-1</f>
        <v>-2.9045643153526868E-2</v>
      </c>
      <c r="N8" s="34">
        <v>154.9</v>
      </c>
      <c r="O8" s="4">
        <f t="shared" ref="O8:O34" si="25">(N8/N7)-1</f>
        <v>1.2928248222368044E-3</v>
      </c>
      <c r="P8" s="32">
        <v>163.9</v>
      </c>
      <c r="Q8" s="4">
        <f t="shared" si="1"/>
        <v>3.2766225582860908E-2</v>
      </c>
      <c r="R8" s="32">
        <v>153.69999999999999</v>
      </c>
      <c r="S8" s="4">
        <f t="shared" si="2"/>
        <v>1.9907100199070937E-2</v>
      </c>
      <c r="T8" s="32">
        <v>149.5</v>
      </c>
      <c r="U8" s="4">
        <f t="shared" si="3"/>
        <v>-6.5625000000000044E-2</v>
      </c>
      <c r="V8" s="32">
        <v>159.80000000000001</v>
      </c>
      <c r="W8" s="4">
        <f t="shared" si="4"/>
        <v>6.297229219143663E-3</v>
      </c>
      <c r="X8" s="32">
        <v>112.6</v>
      </c>
      <c r="Y8" s="4">
        <f t="shared" si="5"/>
        <v>-1.7730496453900457E-3</v>
      </c>
      <c r="Z8" s="32">
        <v>163.5</v>
      </c>
      <c r="AA8" s="4">
        <f t="shared" si="6"/>
        <v>-4.2630937880632214E-3</v>
      </c>
      <c r="AB8" s="32">
        <v>156.5</v>
      </c>
      <c r="AC8" s="4">
        <f t="shared" si="7"/>
        <v>6.4308681672025081E-3</v>
      </c>
      <c r="AD8" s="32">
        <v>168.2</v>
      </c>
      <c r="AE8" s="4">
        <f t="shared" si="8"/>
        <v>4.179104477611828E-3</v>
      </c>
      <c r="AF8" s="32">
        <v>156.69999999999999</v>
      </c>
      <c r="AG8" s="4">
        <f t="shared" si="9"/>
        <v>-1.274697259400992E-3</v>
      </c>
      <c r="AH8" s="32">
        <v>188.1</v>
      </c>
      <c r="AI8" s="4">
        <f t="shared" si="10"/>
        <v>-1.0621348911312722E-3</v>
      </c>
      <c r="AJ8" s="32">
        <v>157.80000000000001</v>
      </c>
      <c r="AK8" s="4">
        <f t="shared" si="11"/>
        <v>3.8167938931299439E-3</v>
      </c>
      <c r="AL8" s="32">
        <v>147.9</v>
      </c>
      <c r="AM8" s="4">
        <f t="shared" si="12"/>
        <v>3.3921302578019397E-3</v>
      </c>
      <c r="AN8" s="32">
        <v>156.4</v>
      </c>
      <c r="AO8" s="4">
        <f t="shared" si="13"/>
        <v>3.8510911424902705E-3</v>
      </c>
      <c r="AP8" s="32">
        <v>159.9</v>
      </c>
      <c r="AQ8" s="4">
        <f t="shared" si="14"/>
        <v>6.2578222778464365E-4</v>
      </c>
      <c r="AR8" s="32">
        <v>155.5</v>
      </c>
      <c r="AS8" s="4">
        <f t="shared" si="15"/>
        <v>2.0341207349081403E-2</v>
      </c>
      <c r="AT8" s="32">
        <v>151.19999999999999</v>
      </c>
      <c r="AU8" s="4">
        <f t="shared" si="16"/>
        <v>1.9880715705764551E-3</v>
      </c>
      <c r="AV8" s="32">
        <v>161.69999999999999</v>
      </c>
      <c r="AW8" s="4">
        <f t="shared" si="17"/>
        <v>2.4798512089272418E-3</v>
      </c>
      <c r="AX8" s="32">
        <v>146.19999999999999</v>
      </c>
      <c r="AY8" s="4">
        <f t="shared" si="18"/>
        <v>7.5809786354237296E-3</v>
      </c>
      <c r="AZ8" s="32">
        <v>152.6</v>
      </c>
      <c r="BA8" s="4">
        <f t="shared" si="19"/>
        <v>7.2607260726071932E-3</v>
      </c>
      <c r="BB8" s="32">
        <v>160.19999999999999</v>
      </c>
      <c r="BC8" s="4">
        <f t="shared" si="20"/>
        <v>4.3887147335421872E-3</v>
      </c>
      <c r="BD8" s="32">
        <v>153.80000000000001</v>
      </c>
      <c r="BE8" s="4">
        <f t="shared" si="21"/>
        <v>-1.2836970474967901E-2</v>
      </c>
      <c r="BF8" s="32">
        <v>153.80000000000001</v>
      </c>
      <c r="BG8" s="4">
        <f t="shared" si="22"/>
        <v>2.6075619295957697E-3</v>
      </c>
      <c r="BH8" s="32">
        <v>156.80000000000001</v>
      </c>
      <c r="BI8" s="4">
        <f t="shared" si="23"/>
        <v>1.2771392081738497E-3</v>
      </c>
    </row>
    <row r="9" spans="1:61">
      <c r="A9" t="s">
        <v>35</v>
      </c>
      <c r="B9">
        <v>2021</v>
      </c>
      <c r="C9" t="s">
        <v>39</v>
      </c>
      <c r="D9">
        <v>4</v>
      </c>
      <c r="E9" s="1">
        <v>44287</v>
      </c>
      <c r="F9">
        <v>143.19</v>
      </c>
      <c r="G9" s="32">
        <v>-1.23E-2</v>
      </c>
      <c r="H9" s="32">
        <v>144.30000000000001</v>
      </c>
      <c r="I9" s="4">
        <f t="shared" si="24"/>
        <v>1.3879250520472119E-3</v>
      </c>
      <c r="J9" s="32">
        <v>198</v>
      </c>
      <c r="K9" s="4">
        <f t="shared" si="0"/>
        <v>3.0176899063475648E-2</v>
      </c>
      <c r="L9" s="34">
        <v>164.6</v>
      </c>
      <c r="M9" s="4">
        <f>(Analysis_5[[#This Row],[Egg]]/L8)-1</f>
        <v>4.8840048840048667E-3</v>
      </c>
      <c r="N9" s="34">
        <v>155.4</v>
      </c>
      <c r="O9" s="4">
        <f t="shared" si="25"/>
        <v>3.2278889606196515E-3</v>
      </c>
      <c r="P9" s="32">
        <v>170.1</v>
      </c>
      <c r="Q9" s="4">
        <f t="shared" si="1"/>
        <v>3.782794386821231E-2</v>
      </c>
      <c r="R9" s="32">
        <v>164.4</v>
      </c>
      <c r="S9" s="4">
        <f t="shared" si="2"/>
        <v>6.9616135328562256E-2</v>
      </c>
      <c r="T9" s="32">
        <v>144.1</v>
      </c>
      <c r="U9" s="4">
        <f t="shared" si="3"/>
        <v>-3.6120401337792707E-2</v>
      </c>
      <c r="V9" s="32">
        <v>161.69999999999999</v>
      </c>
      <c r="W9" s="4">
        <f t="shared" si="4"/>
        <v>1.1889862327909784E-2</v>
      </c>
      <c r="X9" s="32">
        <v>113.1</v>
      </c>
      <c r="Y9" s="4">
        <f t="shared" si="5"/>
        <v>4.4404973357015098E-3</v>
      </c>
      <c r="Z9" s="32">
        <v>163.9</v>
      </c>
      <c r="AA9" s="4">
        <f t="shared" si="6"/>
        <v>2.4464831804280607E-3</v>
      </c>
      <c r="AB9" s="32">
        <v>157.6</v>
      </c>
      <c r="AC9" s="4">
        <f t="shared" si="7"/>
        <v>7.0287539936102483E-3</v>
      </c>
      <c r="AD9" s="32">
        <v>168.9</v>
      </c>
      <c r="AE9" s="4">
        <f t="shared" si="8"/>
        <v>4.1617122473247559E-3</v>
      </c>
      <c r="AF9" s="32">
        <v>158</v>
      </c>
      <c r="AG9" s="4">
        <f t="shared" si="9"/>
        <v>8.2961072112317513E-3</v>
      </c>
      <c r="AH9" s="32">
        <v>188.8</v>
      </c>
      <c r="AI9" s="4">
        <f t="shared" si="10"/>
        <v>3.7214247740564588E-3</v>
      </c>
      <c r="AJ9" s="32">
        <v>158.80000000000001</v>
      </c>
      <c r="AK9" s="4">
        <f t="shared" si="11"/>
        <v>6.3371356147021718E-3</v>
      </c>
      <c r="AL9" s="32">
        <v>148.5</v>
      </c>
      <c r="AM9" s="4">
        <f t="shared" si="12"/>
        <v>4.0567951318457585E-3</v>
      </c>
      <c r="AN9" s="32">
        <v>157.30000000000001</v>
      </c>
      <c r="AO9" s="4">
        <f t="shared" si="13"/>
        <v>5.7544757033247684E-3</v>
      </c>
      <c r="AP9" s="32">
        <v>161.4</v>
      </c>
      <c r="AQ9" s="4">
        <f t="shared" si="14"/>
        <v>9.3808630393996673E-3</v>
      </c>
      <c r="AR9" s="32">
        <v>155.6</v>
      </c>
      <c r="AS9" s="4">
        <f t="shared" si="15"/>
        <v>6.430868167202064E-4</v>
      </c>
      <c r="AT9" s="32">
        <v>151.80000000000001</v>
      </c>
      <c r="AU9" s="4">
        <f t="shared" si="16"/>
        <v>3.9682539682541762E-3</v>
      </c>
      <c r="AV9" s="32">
        <v>162.30000000000001</v>
      </c>
      <c r="AW9" s="4">
        <f t="shared" si="17"/>
        <v>3.7105751391466324E-3</v>
      </c>
      <c r="AX9" s="32">
        <v>146.6</v>
      </c>
      <c r="AY9" s="4">
        <f t="shared" si="18"/>
        <v>2.7359781121751858E-3</v>
      </c>
      <c r="AZ9" s="32">
        <v>153.19999999999999</v>
      </c>
      <c r="BA9" s="4">
        <f t="shared" si="19"/>
        <v>3.9318479685452878E-3</v>
      </c>
      <c r="BB9" s="32">
        <v>160.30000000000001</v>
      </c>
      <c r="BC9" s="4">
        <f t="shared" si="20"/>
        <v>6.242197253434334E-4</v>
      </c>
      <c r="BD9" s="32">
        <v>155.4</v>
      </c>
      <c r="BE9" s="4">
        <f t="shared" si="21"/>
        <v>1.040312093628093E-2</v>
      </c>
      <c r="BF9" s="32">
        <v>154.4</v>
      </c>
      <c r="BG9" s="4">
        <f t="shared" si="22"/>
        <v>3.9011703511053764E-3</v>
      </c>
      <c r="BH9" s="32">
        <v>157.80000000000001</v>
      </c>
      <c r="BI9" s="4">
        <f t="shared" si="23"/>
        <v>6.3775510204082675E-3</v>
      </c>
    </row>
    <row r="10" spans="1:61">
      <c r="A10" t="s">
        <v>35</v>
      </c>
      <c r="B10">
        <v>2021</v>
      </c>
      <c r="C10" t="s">
        <v>41</v>
      </c>
      <c r="D10">
        <v>5</v>
      </c>
      <c r="E10" s="1">
        <v>44317</v>
      </c>
      <c r="F10">
        <v>149.01</v>
      </c>
      <c r="G10" s="32">
        <v>4.0599999999999997E-2</v>
      </c>
      <c r="H10" s="32">
        <v>146.30000000000001</v>
      </c>
      <c r="I10" s="4">
        <f t="shared" si="24"/>
        <v>1.3860013860013787E-2</v>
      </c>
      <c r="J10" s="32">
        <v>200.5</v>
      </c>
      <c r="K10" s="4">
        <f t="shared" si="0"/>
        <v>1.2626262626262541E-2</v>
      </c>
      <c r="L10" s="34">
        <v>170.3</v>
      </c>
      <c r="M10" s="4">
        <f>(Analysis_5[[#This Row],[Egg]]/L9)-1</f>
        <v>3.4629404617253945E-2</v>
      </c>
      <c r="N10" s="34">
        <v>156.1</v>
      </c>
      <c r="O10" s="4">
        <f t="shared" si="25"/>
        <v>4.5045045045044585E-3</v>
      </c>
      <c r="P10" s="32">
        <v>178.7</v>
      </c>
      <c r="Q10" s="4">
        <f t="shared" si="1"/>
        <v>5.0558495002939408E-2</v>
      </c>
      <c r="R10" s="32">
        <v>167.1</v>
      </c>
      <c r="S10" s="4">
        <f t="shared" si="2"/>
        <v>1.6423357664233418E-2</v>
      </c>
      <c r="T10" s="32">
        <v>147.9</v>
      </c>
      <c r="U10" s="4">
        <f t="shared" si="3"/>
        <v>2.6370575988896583E-2</v>
      </c>
      <c r="V10" s="32">
        <v>165.4</v>
      </c>
      <c r="W10" s="4">
        <f t="shared" si="4"/>
        <v>2.2881880024737233E-2</v>
      </c>
      <c r="X10" s="32">
        <v>114.8</v>
      </c>
      <c r="Y10" s="4">
        <f t="shared" si="5"/>
        <v>1.5030946065428763E-2</v>
      </c>
      <c r="Z10" s="32">
        <v>168.2</v>
      </c>
      <c r="AA10" s="4">
        <f t="shared" si="6"/>
        <v>2.6235509456985939E-2</v>
      </c>
      <c r="AB10" s="32">
        <v>159.30000000000001</v>
      </c>
      <c r="AC10" s="4">
        <f t="shared" si="7"/>
        <v>1.0786802030456899E-2</v>
      </c>
      <c r="AD10" s="32">
        <v>170.4</v>
      </c>
      <c r="AE10" s="4">
        <f t="shared" si="8"/>
        <v>8.8809946714032417E-3</v>
      </c>
      <c r="AF10" s="32">
        <v>160.69999999999999</v>
      </c>
      <c r="AG10" s="4">
        <f t="shared" si="9"/>
        <v>1.7088607594936578E-2</v>
      </c>
      <c r="AH10" s="32">
        <v>191.9</v>
      </c>
      <c r="AI10" s="4">
        <f t="shared" si="10"/>
        <v>1.6419491525423657E-2</v>
      </c>
      <c r="AJ10" s="32">
        <v>161.80000000000001</v>
      </c>
      <c r="AK10" s="4">
        <f t="shared" si="11"/>
        <v>1.8891687657430767E-2</v>
      </c>
      <c r="AL10" s="32">
        <v>152.1</v>
      </c>
      <c r="AM10" s="4">
        <f t="shared" si="12"/>
        <v>2.4242424242424176E-2</v>
      </c>
      <c r="AN10" s="32">
        <v>160.4</v>
      </c>
      <c r="AO10" s="4">
        <f t="shared" si="13"/>
        <v>1.9707565162110585E-2</v>
      </c>
      <c r="AP10" s="32">
        <v>161.6</v>
      </c>
      <c r="AQ10" s="4">
        <f t="shared" si="14"/>
        <v>1.2391573729861882E-3</v>
      </c>
      <c r="AR10" s="32">
        <v>159.4</v>
      </c>
      <c r="AS10" s="4">
        <f t="shared" si="15"/>
        <v>2.4421593830334265E-2</v>
      </c>
      <c r="AT10" s="32">
        <v>154.69999999999999</v>
      </c>
      <c r="AU10" s="4">
        <f t="shared" si="16"/>
        <v>1.9104084321475368E-2</v>
      </c>
      <c r="AV10" s="32">
        <v>165.8</v>
      </c>
      <c r="AW10" s="4">
        <f t="shared" si="17"/>
        <v>2.1565003080714629E-2</v>
      </c>
      <c r="AX10" s="32">
        <v>148.9</v>
      </c>
      <c r="AY10" s="4">
        <f t="shared" si="18"/>
        <v>1.568894952251032E-2</v>
      </c>
      <c r="AZ10" s="32">
        <v>155.80000000000001</v>
      </c>
      <c r="BA10" s="4">
        <f t="shared" si="19"/>
        <v>1.6971279373368287E-2</v>
      </c>
      <c r="BB10" s="32">
        <v>161.19999999999999</v>
      </c>
      <c r="BC10" s="4">
        <f t="shared" si="20"/>
        <v>5.6144728633811258E-3</v>
      </c>
      <c r="BD10" s="32">
        <v>158.6</v>
      </c>
      <c r="BE10" s="4">
        <f t="shared" si="21"/>
        <v>2.0592020592020477E-2</v>
      </c>
      <c r="BF10" s="32">
        <v>156.80000000000001</v>
      </c>
      <c r="BG10" s="4">
        <f t="shared" si="22"/>
        <v>1.5544041450777257E-2</v>
      </c>
      <c r="BH10" s="32">
        <v>160.4</v>
      </c>
      <c r="BI10" s="4">
        <f t="shared" si="23"/>
        <v>1.6476552598225558E-2</v>
      </c>
    </row>
    <row r="11" spans="1:61">
      <c r="A11" t="s">
        <v>35</v>
      </c>
      <c r="B11">
        <v>2021</v>
      </c>
      <c r="C11" t="s">
        <v>42</v>
      </c>
      <c r="D11">
        <v>6</v>
      </c>
      <c r="E11" s="1">
        <v>44348</v>
      </c>
      <c r="F11">
        <v>161.31</v>
      </c>
      <c r="G11" s="32">
        <v>8.2500000000000004E-2</v>
      </c>
      <c r="H11" s="32">
        <v>146.69999999999999</v>
      </c>
      <c r="I11" s="4">
        <f t="shared" si="24"/>
        <v>2.7341079972658111E-3</v>
      </c>
      <c r="J11" s="32">
        <v>202</v>
      </c>
      <c r="K11" s="4">
        <f t="shared" si="0"/>
        <v>7.4812967581048273E-3</v>
      </c>
      <c r="L11" s="34">
        <v>180.7</v>
      </c>
      <c r="M11" s="4">
        <f>(Analysis_5[[#This Row],[Egg]]/L10)-1</f>
        <v>6.1068702290076216E-2</v>
      </c>
      <c r="N11" s="34">
        <v>156.19999999999999</v>
      </c>
      <c r="O11" s="4">
        <f t="shared" si="25"/>
        <v>6.4061499039080871E-4</v>
      </c>
      <c r="P11" s="32">
        <v>183.7</v>
      </c>
      <c r="Q11" s="4">
        <f t="shared" si="1"/>
        <v>2.7979854504756485E-2</v>
      </c>
      <c r="R11" s="32">
        <v>164.6</v>
      </c>
      <c r="S11" s="4">
        <f t="shared" si="2"/>
        <v>-1.4961101137043742E-2</v>
      </c>
      <c r="T11" s="32">
        <v>155.4</v>
      </c>
      <c r="U11" s="4">
        <f t="shared" si="3"/>
        <v>5.070993914807298E-2</v>
      </c>
      <c r="V11" s="32">
        <v>166</v>
      </c>
      <c r="W11" s="4">
        <f t="shared" si="4"/>
        <v>3.6275695284160303E-3</v>
      </c>
      <c r="X11" s="32">
        <v>115.1</v>
      </c>
      <c r="Y11" s="4">
        <f t="shared" si="5"/>
        <v>2.6132404181185009E-3</v>
      </c>
      <c r="Z11" s="32">
        <v>168.5</v>
      </c>
      <c r="AA11" s="4">
        <f t="shared" si="6"/>
        <v>1.7835909631391811E-3</v>
      </c>
      <c r="AB11" s="32">
        <v>160</v>
      </c>
      <c r="AC11" s="4">
        <f t="shared" si="7"/>
        <v>4.3942247332076079E-3</v>
      </c>
      <c r="AD11" s="32">
        <v>172.4</v>
      </c>
      <c r="AE11" s="4">
        <f t="shared" si="8"/>
        <v>1.1737089201877993E-2</v>
      </c>
      <c r="AF11" s="32">
        <v>162.6</v>
      </c>
      <c r="AG11" s="4">
        <f t="shared" si="9"/>
        <v>1.1823273179838223E-2</v>
      </c>
      <c r="AH11" s="32">
        <v>190.8</v>
      </c>
      <c r="AI11" s="4">
        <f t="shared" si="10"/>
        <v>-5.7321521625846028E-3</v>
      </c>
      <c r="AJ11" s="32">
        <v>162.19999999999999</v>
      </c>
      <c r="AK11" s="4">
        <f t="shared" si="11"/>
        <v>2.4721878862792313E-3</v>
      </c>
      <c r="AL11" s="32">
        <v>151.80000000000001</v>
      </c>
      <c r="AM11" s="4">
        <f t="shared" si="12"/>
        <v>-1.9723865877711022E-3</v>
      </c>
      <c r="AN11" s="32">
        <v>160.69999999999999</v>
      </c>
      <c r="AO11" s="4">
        <f t="shared" si="13"/>
        <v>1.8703241895261513E-3</v>
      </c>
      <c r="AP11" s="32">
        <v>160.5</v>
      </c>
      <c r="AQ11" s="4">
        <f t="shared" si="14"/>
        <v>-6.8069306930692575E-3</v>
      </c>
      <c r="AR11" s="32">
        <v>159.80000000000001</v>
      </c>
      <c r="AS11" s="4">
        <f t="shared" si="15"/>
        <v>2.5094102885823144E-3</v>
      </c>
      <c r="AT11" s="32">
        <v>154.80000000000001</v>
      </c>
      <c r="AU11" s="4">
        <f t="shared" si="16"/>
        <v>6.4641241111851322E-4</v>
      </c>
      <c r="AV11" s="32">
        <v>166.3</v>
      </c>
      <c r="AW11" s="4">
        <f t="shared" si="17"/>
        <v>3.0156815440289808E-3</v>
      </c>
      <c r="AX11" s="32">
        <v>150.69999999999999</v>
      </c>
      <c r="AY11" s="4">
        <f t="shared" si="18"/>
        <v>1.2088650100738674E-2</v>
      </c>
      <c r="AZ11" s="32">
        <v>154.9</v>
      </c>
      <c r="BA11" s="4">
        <f t="shared" si="19"/>
        <v>-5.7766367137356278E-3</v>
      </c>
      <c r="BB11" s="32">
        <v>161.69999999999999</v>
      </c>
      <c r="BC11" s="4">
        <f t="shared" si="20"/>
        <v>3.1017369727046606E-3</v>
      </c>
      <c r="BD11" s="32">
        <v>158.80000000000001</v>
      </c>
      <c r="BE11" s="4">
        <f t="shared" si="21"/>
        <v>1.2610340479193294E-3</v>
      </c>
      <c r="BF11" s="32">
        <v>157.6</v>
      </c>
      <c r="BG11" s="4">
        <f t="shared" si="22"/>
        <v>5.1020408163264808E-3</v>
      </c>
      <c r="BH11" s="32">
        <v>161.30000000000001</v>
      </c>
      <c r="BI11" s="4">
        <f t="shared" si="23"/>
        <v>5.610972568578676E-3</v>
      </c>
    </row>
    <row r="12" spans="1:61">
      <c r="A12" t="s">
        <v>35</v>
      </c>
      <c r="B12">
        <v>2021</v>
      </c>
      <c r="C12" t="s">
        <v>44</v>
      </c>
      <c r="D12">
        <v>7</v>
      </c>
      <c r="E12" s="1">
        <v>44378</v>
      </c>
      <c r="F12">
        <v>164.91</v>
      </c>
      <c r="G12" s="32">
        <v>2.23E-2</v>
      </c>
      <c r="H12" s="32">
        <v>146.4</v>
      </c>
      <c r="I12" s="4">
        <f t="shared" si="24"/>
        <v>-2.0449897750509649E-3</v>
      </c>
      <c r="J12" s="32">
        <v>206.8</v>
      </c>
      <c r="K12" s="4">
        <f t="shared" si="0"/>
        <v>2.3762376237623783E-2</v>
      </c>
      <c r="L12" s="34">
        <v>182.2</v>
      </c>
      <c r="M12" s="4">
        <f>(Analysis_5[[#This Row],[Egg]]/L11)-1</f>
        <v>8.3010514665191604E-3</v>
      </c>
      <c r="N12" s="34">
        <v>157.5</v>
      </c>
      <c r="O12" s="4">
        <f t="shared" si="25"/>
        <v>8.3226632522408472E-3</v>
      </c>
      <c r="P12" s="32">
        <v>182.1</v>
      </c>
      <c r="Q12" s="4">
        <f t="shared" si="1"/>
        <v>-8.7098530212302849E-3</v>
      </c>
      <c r="R12" s="32">
        <v>163.9</v>
      </c>
      <c r="S12" s="4">
        <f t="shared" si="2"/>
        <v>-4.2527339003644027E-3</v>
      </c>
      <c r="T12" s="32">
        <v>164.2</v>
      </c>
      <c r="U12" s="4">
        <f t="shared" si="3"/>
        <v>5.6628056628056589E-2</v>
      </c>
      <c r="V12" s="32">
        <v>164</v>
      </c>
      <c r="W12" s="4">
        <f t="shared" si="4"/>
        <v>-1.2048192771084376E-2</v>
      </c>
      <c r="X12" s="32">
        <v>114.5</v>
      </c>
      <c r="Y12" s="4">
        <f t="shared" si="5"/>
        <v>-5.2128583840138631E-3</v>
      </c>
      <c r="Z12" s="32">
        <v>168.3</v>
      </c>
      <c r="AA12" s="4">
        <f t="shared" si="6"/>
        <v>-1.1869436201780159E-3</v>
      </c>
      <c r="AB12" s="32">
        <v>160.9</v>
      </c>
      <c r="AC12" s="4">
        <f t="shared" si="7"/>
        <v>5.6249999999999911E-3</v>
      </c>
      <c r="AD12" s="32">
        <v>172.2</v>
      </c>
      <c r="AE12" s="4">
        <f t="shared" si="8"/>
        <v>-1.1600928074246841E-3</v>
      </c>
      <c r="AF12" s="32">
        <v>164</v>
      </c>
      <c r="AG12" s="4">
        <f t="shared" si="9"/>
        <v>8.610086100861114E-3</v>
      </c>
      <c r="AH12" s="32">
        <v>191.2</v>
      </c>
      <c r="AI12" s="4">
        <f t="shared" si="10"/>
        <v>2.0964360587001352E-3</v>
      </c>
      <c r="AJ12" s="32">
        <v>162.80000000000001</v>
      </c>
      <c r="AK12" s="4">
        <f t="shared" si="11"/>
        <v>3.6991368680643344E-3</v>
      </c>
      <c r="AL12" s="32">
        <v>153.1</v>
      </c>
      <c r="AM12" s="4">
        <f t="shared" si="12"/>
        <v>8.5638998682475709E-3</v>
      </c>
      <c r="AN12" s="32">
        <v>161.4</v>
      </c>
      <c r="AO12" s="4">
        <f t="shared" si="13"/>
        <v>4.3559427504669124E-3</v>
      </c>
      <c r="AP12" s="32">
        <v>161.5</v>
      </c>
      <c r="AQ12" s="4">
        <f t="shared" si="14"/>
        <v>6.230529595015577E-3</v>
      </c>
      <c r="AR12" s="32">
        <v>160.69999999999999</v>
      </c>
      <c r="AS12" s="4">
        <f t="shared" si="15"/>
        <v>5.632040050062459E-3</v>
      </c>
      <c r="AT12" s="32">
        <v>155.80000000000001</v>
      </c>
      <c r="AU12" s="4">
        <f t="shared" si="16"/>
        <v>6.4599483204135222E-3</v>
      </c>
      <c r="AV12" s="32">
        <v>167</v>
      </c>
      <c r="AW12" s="4">
        <f t="shared" si="17"/>
        <v>4.2092603728201006E-3</v>
      </c>
      <c r="AX12" s="32">
        <v>153.1</v>
      </c>
      <c r="AY12" s="4">
        <f t="shared" si="18"/>
        <v>1.5925680159256883E-2</v>
      </c>
      <c r="AZ12" s="32">
        <v>155.30000000000001</v>
      </c>
      <c r="BA12" s="4">
        <f t="shared" si="19"/>
        <v>2.5823111684959432E-3</v>
      </c>
      <c r="BB12" s="32">
        <v>163.19999999999999</v>
      </c>
      <c r="BC12" s="4">
        <f t="shared" si="20"/>
        <v>9.27643784786647E-3</v>
      </c>
      <c r="BD12" s="32">
        <v>160.1</v>
      </c>
      <c r="BE12" s="4">
        <f t="shared" si="21"/>
        <v>8.1863979848866286E-3</v>
      </c>
      <c r="BF12" s="32">
        <v>159</v>
      </c>
      <c r="BG12" s="4">
        <f t="shared" si="22"/>
        <v>8.8832487309644659E-3</v>
      </c>
      <c r="BH12" s="32">
        <v>162.5</v>
      </c>
      <c r="BI12" s="4">
        <f t="shared" si="23"/>
        <v>7.4395536267823914E-3</v>
      </c>
    </row>
    <row r="13" spans="1:61">
      <c r="A13" t="s">
        <v>35</v>
      </c>
      <c r="B13">
        <v>2021</v>
      </c>
      <c r="C13" t="s">
        <v>46</v>
      </c>
      <c r="D13">
        <v>8</v>
      </c>
      <c r="E13" s="1">
        <v>44409</v>
      </c>
      <c r="F13">
        <v>156.1</v>
      </c>
      <c r="G13" s="32">
        <v>-5.3400000000000003E-2</v>
      </c>
      <c r="H13" s="32">
        <v>146.6</v>
      </c>
      <c r="I13" s="4">
        <f t="shared" si="24"/>
        <v>1.36612021857907E-3</v>
      </c>
      <c r="J13" s="32">
        <v>204</v>
      </c>
      <c r="K13" s="4">
        <f t="shared" si="0"/>
        <v>-1.3539651837524258E-2</v>
      </c>
      <c r="L13" s="34">
        <v>172.8</v>
      </c>
      <c r="M13" s="4">
        <f>(Analysis_5[[#This Row],[Egg]]/L12)-1</f>
        <v>-5.1591657519209577E-2</v>
      </c>
      <c r="N13" s="34">
        <v>158.4</v>
      </c>
      <c r="O13" s="4">
        <f t="shared" si="25"/>
        <v>5.7142857142857828E-3</v>
      </c>
      <c r="P13" s="32">
        <v>188</v>
      </c>
      <c r="Q13" s="4">
        <f t="shared" si="1"/>
        <v>3.2399780340472306E-2</v>
      </c>
      <c r="R13" s="32">
        <v>156.80000000000001</v>
      </c>
      <c r="S13" s="4">
        <f t="shared" si="2"/>
        <v>-4.3319097010372176E-2</v>
      </c>
      <c r="T13" s="32">
        <v>162.19999999999999</v>
      </c>
      <c r="U13" s="4">
        <f t="shared" si="3"/>
        <v>-1.218026796589522E-2</v>
      </c>
      <c r="V13" s="32">
        <v>164.1</v>
      </c>
      <c r="W13" s="4">
        <f t="shared" si="4"/>
        <v>6.0975609756086513E-4</v>
      </c>
      <c r="X13" s="32">
        <v>119.7</v>
      </c>
      <c r="Y13" s="4">
        <f t="shared" si="5"/>
        <v>4.5414847161572069E-2</v>
      </c>
      <c r="Z13" s="32">
        <v>168.8</v>
      </c>
      <c r="AA13" s="4">
        <f t="shared" si="6"/>
        <v>2.9708853238266109E-3</v>
      </c>
      <c r="AB13" s="32">
        <v>162.69999999999999</v>
      </c>
      <c r="AC13" s="4">
        <f t="shared" si="7"/>
        <v>1.1187072715972635E-2</v>
      </c>
      <c r="AD13" s="32">
        <v>173.9</v>
      </c>
      <c r="AE13" s="4">
        <f t="shared" si="8"/>
        <v>9.8722415795586826E-3</v>
      </c>
      <c r="AF13" s="32">
        <v>164</v>
      </c>
      <c r="AG13" s="4">
        <f t="shared" si="9"/>
        <v>0</v>
      </c>
      <c r="AH13" s="32">
        <v>192.1</v>
      </c>
      <c r="AI13" s="4">
        <f t="shared" si="10"/>
        <v>4.7071129707112469E-3</v>
      </c>
      <c r="AJ13" s="32">
        <v>164.5</v>
      </c>
      <c r="AK13" s="4">
        <f t="shared" si="11"/>
        <v>1.0442260442260265E-2</v>
      </c>
      <c r="AL13" s="32">
        <v>155.30000000000001</v>
      </c>
      <c r="AM13" s="4">
        <f t="shared" si="12"/>
        <v>1.4369693011103912E-2</v>
      </c>
      <c r="AN13" s="32">
        <v>163.19999999999999</v>
      </c>
      <c r="AO13" s="4">
        <f t="shared" si="13"/>
        <v>1.1152416356877248E-2</v>
      </c>
      <c r="AP13" s="32">
        <v>162.1</v>
      </c>
      <c r="AQ13" s="4">
        <f t="shared" si="14"/>
        <v>3.7151702786377694E-3</v>
      </c>
      <c r="AR13" s="32">
        <v>162.6</v>
      </c>
      <c r="AS13" s="4">
        <f t="shared" si="15"/>
        <v>1.1823273179838223E-2</v>
      </c>
      <c r="AT13" s="32">
        <v>157.5</v>
      </c>
      <c r="AU13" s="4">
        <f t="shared" si="16"/>
        <v>1.0911424903722544E-2</v>
      </c>
      <c r="AV13" s="32">
        <v>168.4</v>
      </c>
      <c r="AW13" s="4">
        <f t="shared" si="17"/>
        <v>8.3832335329341312E-3</v>
      </c>
      <c r="AX13" s="32">
        <v>154</v>
      </c>
      <c r="AY13" s="4">
        <f t="shared" si="18"/>
        <v>5.878510777269863E-3</v>
      </c>
      <c r="AZ13" s="32">
        <v>157.6</v>
      </c>
      <c r="BA13" s="4">
        <f t="shared" si="19"/>
        <v>1.4810045074050038E-2</v>
      </c>
      <c r="BB13" s="32">
        <v>163.80000000000001</v>
      </c>
      <c r="BC13" s="4">
        <f t="shared" si="20"/>
        <v>3.6764705882355031E-3</v>
      </c>
      <c r="BD13" s="32">
        <v>160</v>
      </c>
      <c r="BE13" s="4">
        <f t="shared" si="21"/>
        <v>-6.2460961898813672E-4</v>
      </c>
      <c r="BF13" s="32">
        <v>160</v>
      </c>
      <c r="BG13" s="4">
        <f t="shared" si="22"/>
        <v>6.2893081761006275E-3</v>
      </c>
      <c r="BH13" s="32">
        <v>163.19999999999999</v>
      </c>
      <c r="BI13" s="4">
        <f t="shared" si="23"/>
        <v>4.3076923076923457E-3</v>
      </c>
    </row>
    <row r="14" spans="1:61">
      <c r="A14" t="s">
        <v>35</v>
      </c>
      <c r="B14">
        <v>2021</v>
      </c>
      <c r="C14" t="s">
        <v>48</v>
      </c>
      <c r="D14">
        <v>9</v>
      </c>
      <c r="E14" s="1">
        <v>44440</v>
      </c>
      <c r="F14">
        <v>165.15</v>
      </c>
      <c r="G14" s="32">
        <v>5.8000000000000003E-2</v>
      </c>
      <c r="H14" s="32">
        <v>146.6</v>
      </c>
      <c r="I14" s="4">
        <f t="shared" si="24"/>
        <v>0</v>
      </c>
      <c r="J14" s="32">
        <v>204</v>
      </c>
      <c r="K14" s="4">
        <f t="shared" si="0"/>
        <v>0</v>
      </c>
      <c r="L14" s="34">
        <v>172.8</v>
      </c>
      <c r="M14" s="4">
        <f>(Analysis_5[[#This Row],[Egg]]/L13)-1</f>
        <v>0</v>
      </c>
      <c r="N14" s="34">
        <v>158.4</v>
      </c>
      <c r="O14" s="4">
        <f t="shared" si="25"/>
        <v>0</v>
      </c>
      <c r="P14" s="32">
        <v>188</v>
      </c>
      <c r="Q14" s="4">
        <f t="shared" si="1"/>
        <v>0</v>
      </c>
      <c r="R14" s="32">
        <v>156.69999999999999</v>
      </c>
      <c r="S14" s="4">
        <f t="shared" si="2"/>
        <v>-6.3775510204100438E-4</v>
      </c>
      <c r="T14" s="32">
        <v>162.30000000000001</v>
      </c>
      <c r="U14" s="4">
        <f t="shared" si="3"/>
        <v>6.1652281134416675E-4</v>
      </c>
      <c r="V14" s="32">
        <v>164.1</v>
      </c>
      <c r="W14" s="4">
        <f t="shared" si="4"/>
        <v>0</v>
      </c>
      <c r="X14" s="32">
        <v>119.7</v>
      </c>
      <c r="Y14" s="4">
        <f t="shared" si="5"/>
        <v>0</v>
      </c>
      <c r="Z14" s="32">
        <v>168.8</v>
      </c>
      <c r="AA14" s="4">
        <f t="shared" si="6"/>
        <v>0</v>
      </c>
      <c r="AB14" s="32">
        <v>162.69999999999999</v>
      </c>
      <c r="AC14" s="4">
        <f t="shared" si="7"/>
        <v>0</v>
      </c>
      <c r="AD14" s="32">
        <v>173.9</v>
      </c>
      <c r="AE14" s="4">
        <f t="shared" si="8"/>
        <v>0</v>
      </c>
      <c r="AF14" s="32">
        <v>164</v>
      </c>
      <c r="AG14" s="4">
        <f t="shared" si="9"/>
        <v>0</v>
      </c>
      <c r="AH14" s="32">
        <v>192.1</v>
      </c>
      <c r="AI14" s="4">
        <f t="shared" si="10"/>
        <v>0</v>
      </c>
      <c r="AJ14" s="32">
        <v>164.6</v>
      </c>
      <c r="AK14" s="4">
        <f t="shared" si="11"/>
        <v>6.0790273556232677E-4</v>
      </c>
      <c r="AL14" s="32">
        <v>155.30000000000001</v>
      </c>
      <c r="AM14" s="4">
        <f t="shared" si="12"/>
        <v>0</v>
      </c>
      <c r="AN14" s="32">
        <v>163.30000000000001</v>
      </c>
      <c r="AO14" s="4">
        <f t="shared" si="13"/>
        <v>6.1274509803932453E-4</v>
      </c>
      <c r="AP14" s="32">
        <v>162.1</v>
      </c>
      <c r="AQ14" s="4">
        <f t="shared" si="14"/>
        <v>0</v>
      </c>
      <c r="AR14" s="32">
        <v>162.6</v>
      </c>
      <c r="AS14" s="4">
        <f t="shared" si="15"/>
        <v>0</v>
      </c>
      <c r="AT14" s="32">
        <v>157.5</v>
      </c>
      <c r="AU14" s="4">
        <f t="shared" si="16"/>
        <v>0</v>
      </c>
      <c r="AV14" s="32">
        <v>168.4</v>
      </c>
      <c r="AW14" s="4">
        <f t="shared" si="17"/>
        <v>0</v>
      </c>
      <c r="AX14" s="32">
        <v>154</v>
      </c>
      <c r="AY14" s="4">
        <f t="shared" si="18"/>
        <v>0</v>
      </c>
      <c r="AZ14" s="32">
        <v>157.69999999999999</v>
      </c>
      <c r="BA14" s="4">
        <f t="shared" si="19"/>
        <v>6.3451776649747771E-4</v>
      </c>
      <c r="BB14" s="32">
        <v>163.69999999999999</v>
      </c>
      <c r="BC14" s="4">
        <f t="shared" si="20"/>
        <v>-6.1050061050071935E-4</v>
      </c>
      <c r="BD14" s="32">
        <v>160</v>
      </c>
      <c r="BE14" s="4">
        <f t="shared" si="21"/>
        <v>0</v>
      </c>
      <c r="BF14" s="32">
        <v>160</v>
      </c>
      <c r="BG14" s="4">
        <f t="shared" si="22"/>
        <v>0</v>
      </c>
      <c r="BH14" s="32">
        <v>163.19999999999999</v>
      </c>
      <c r="BI14" s="4">
        <f t="shared" si="23"/>
        <v>0</v>
      </c>
    </row>
    <row r="15" spans="1:61">
      <c r="A15" t="s">
        <v>35</v>
      </c>
      <c r="B15">
        <v>2021</v>
      </c>
      <c r="C15" t="s">
        <v>50</v>
      </c>
      <c r="D15">
        <v>10</v>
      </c>
      <c r="E15" s="1">
        <v>44470</v>
      </c>
      <c r="F15">
        <v>187.03</v>
      </c>
      <c r="G15" s="32">
        <v>0.13250000000000001</v>
      </c>
      <c r="H15" s="32">
        <v>147.4</v>
      </c>
      <c r="I15" s="4">
        <f t="shared" si="24"/>
        <v>5.4570259208732708E-3</v>
      </c>
      <c r="J15" s="32">
        <v>204.6</v>
      </c>
      <c r="K15" s="4">
        <f t="shared" si="0"/>
        <v>2.9411764705882248E-3</v>
      </c>
      <c r="L15" s="34">
        <v>171.2</v>
      </c>
      <c r="M15" s="4">
        <f>(Analysis_5[[#This Row],[Egg]]/L14)-1</f>
        <v>-9.2592592592594114E-3</v>
      </c>
      <c r="N15" s="34">
        <v>158.69999999999999</v>
      </c>
      <c r="O15" s="4">
        <f t="shared" si="25"/>
        <v>1.8939393939392257E-3</v>
      </c>
      <c r="P15" s="32">
        <v>190.6</v>
      </c>
      <c r="Q15" s="4">
        <f t="shared" si="1"/>
        <v>1.382978723404249E-2</v>
      </c>
      <c r="R15" s="32">
        <v>155.69999999999999</v>
      </c>
      <c r="S15" s="4">
        <f t="shared" si="2"/>
        <v>-6.3816209317166805E-3</v>
      </c>
      <c r="T15" s="32">
        <v>185.3</v>
      </c>
      <c r="U15" s="4">
        <f t="shared" si="3"/>
        <v>0.141712877387554</v>
      </c>
      <c r="V15" s="32">
        <v>165.2</v>
      </c>
      <c r="W15" s="4">
        <f t="shared" si="4"/>
        <v>6.7032297379645556E-3</v>
      </c>
      <c r="X15" s="32">
        <v>121.9</v>
      </c>
      <c r="Y15" s="4">
        <f t="shared" si="5"/>
        <v>1.8379281537176384E-2</v>
      </c>
      <c r="Z15" s="32">
        <v>169.3</v>
      </c>
      <c r="AA15" s="4">
        <f t="shared" si="6"/>
        <v>2.962085308056972E-3</v>
      </c>
      <c r="AB15" s="32">
        <v>163.19999999999999</v>
      </c>
      <c r="AC15" s="4">
        <f t="shared" si="7"/>
        <v>3.0731407498463259E-3</v>
      </c>
      <c r="AD15" s="32">
        <v>174.7</v>
      </c>
      <c r="AE15" s="4">
        <f t="shared" si="8"/>
        <v>4.6003450258769174E-3</v>
      </c>
      <c r="AF15" s="32">
        <v>167.7</v>
      </c>
      <c r="AG15" s="4">
        <f t="shared" si="9"/>
        <v>2.2560975609756007E-2</v>
      </c>
      <c r="AH15" s="32">
        <v>192.7</v>
      </c>
      <c r="AI15" s="4">
        <f t="shared" si="10"/>
        <v>3.1233732431024119E-3</v>
      </c>
      <c r="AJ15" s="32">
        <v>165.7</v>
      </c>
      <c r="AK15" s="4">
        <f t="shared" si="11"/>
        <v>6.6828675577157437E-3</v>
      </c>
      <c r="AL15" s="32">
        <v>156.30000000000001</v>
      </c>
      <c r="AM15" s="4">
        <f t="shared" si="12"/>
        <v>6.4391500321956396E-3</v>
      </c>
      <c r="AN15" s="32">
        <v>164.3</v>
      </c>
      <c r="AO15" s="4">
        <f t="shared" si="13"/>
        <v>6.1236987140231847E-3</v>
      </c>
      <c r="AP15" s="32">
        <v>163.6</v>
      </c>
      <c r="AQ15" s="4">
        <f t="shared" si="14"/>
        <v>9.2535471930907942E-3</v>
      </c>
      <c r="AR15" s="32">
        <v>164.2</v>
      </c>
      <c r="AS15" s="4">
        <f t="shared" si="15"/>
        <v>9.8400984009838766E-3</v>
      </c>
      <c r="AT15" s="32">
        <v>158.4</v>
      </c>
      <c r="AU15" s="4">
        <f t="shared" si="16"/>
        <v>5.7142857142857828E-3</v>
      </c>
      <c r="AV15" s="32">
        <v>169.1</v>
      </c>
      <c r="AW15" s="4">
        <f t="shared" si="17"/>
        <v>4.1567695961994833E-3</v>
      </c>
      <c r="AX15" s="32">
        <v>155.69999999999999</v>
      </c>
      <c r="AY15" s="4">
        <f t="shared" si="18"/>
        <v>1.1038961038960959E-2</v>
      </c>
      <c r="AZ15" s="32">
        <v>158.6</v>
      </c>
      <c r="BA15" s="4">
        <f t="shared" si="19"/>
        <v>5.7070386810400553E-3</v>
      </c>
      <c r="BB15" s="32">
        <v>163.9</v>
      </c>
      <c r="BC15" s="4">
        <f t="shared" si="20"/>
        <v>1.2217470983506562E-3</v>
      </c>
      <c r="BD15" s="32">
        <v>160.80000000000001</v>
      </c>
      <c r="BE15" s="4">
        <f t="shared" si="21"/>
        <v>5.0000000000001155E-3</v>
      </c>
      <c r="BF15" s="32">
        <v>161</v>
      </c>
      <c r="BG15" s="4">
        <f t="shared" si="22"/>
        <v>6.2500000000000888E-3</v>
      </c>
      <c r="BH15" s="32">
        <v>165.5</v>
      </c>
      <c r="BI15" s="4">
        <f t="shared" si="23"/>
        <v>1.4093137254902022E-2</v>
      </c>
    </row>
    <row r="16" spans="1:61">
      <c r="A16" t="s">
        <v>35</v>
      </c>
      <c r="B16">
        <v>2021</v>
      </c>
      <c r="C16" t="s">
        <v>53</v>
      </c>
      <c r="D16">
        <v>11</v>
      </c>
      <c r="E16" s="1">
        <v>44501</v>
      </c>
      <c r="F16">
        <v>182.05</v>
      </c>
      <c r="G16" s="32">
        <v>-2.6599999999999999E-2</v>
      </c>
      <c r="H16" s="32">
        <v>148.19999999999999</v>
      </c>
      <c r="I16" s="4">
        <f t="shared" si="24"/>
        <v>5.4274084124830146E-3</v>
      </c>
      <c r="J16" s="32">
        <v>201.6</v>
      </c>
      <c r="K16" s="4">
        <f t="shared" si="0"/>
        <v>-1.4662756598240456E-2</v>
      </c>
      <c r="L16" s="34">
        <v>173</v>
      </c>
      <c r="M16" s="4">
        <f>(Analysis_5[[#This Row],[Egg]]/L15)-1</f>
        <v>1.0514018691588856E-2</v>
      </c>
      <c r="N16" s="34">
        <v>159.30000000000001</v>
      </c>
      <c r="O16" s="4">
        <f t="shared" si="25"/>
        <v>3.780718336483968E-3</v>
      </c>
      <c r="P16" s="32">
        <v>190.1</v>
      </c>
      <c r="Q16" s="4">
        <f t="shared" si="1"/>
        <v>-2.6232948583421178E-3</v>
      </c>
      <c r="R16" s="32">
        <v>156.5</v>
      </c>
      <c r="S16" s="4">
        <f t="shared" si="2"/>
        <v>5.138086062941527E-3</v>
      </c>
      <c r="T16" s="32">
        <v>199.2</v>
      </c>
      <c r="U16" s="4">
        <f t="shared" si="3"/>
        <v>7.5013491635186114E-2</v>
      </c>
      <c r="V16" s="32">
        <v>165.3</v>
      </c>
      <c r="W16" s="4">
        <f t="shared" si="4"/>
        <v>6.0532687651337902E-4</v>
      </c>
      <c r="X16" s="32">
        <v>122.4</v>
      </c>
      <c r="Y16" s="4">
        <f t="shared" si="5"/>
        <v>4.1017227235438103E-3</v>
      </c>
      <c r="Z16" s="32">
        <v>169.6</v>
      </c>
      <c r="AA16" s="4">
        <f t="shared" si="6"/>
        <v>1.7720023626697223E-3</v>
      </c>
      <c r="AB16" s="32">
        <v>163.69999999999999</v>
      </c>
      <c r="AC16" s="4">
        <f t="shared" si="7"/>
        <v>3.0637254901961786E-3</v>
      </c>
      <c r="AD16" s="32">
        <v>175.5</v>
      </c>
      <c r="AE16" s="4">
        <f t="shared" si="8"/>
        <v>4.5792787635947629E-3</v>
      </c>
      <c r="AF16" s="32">
        <v>169.7</v>
      </c>
      <c r="AG16" s="4">
        <f t="shared" si="9"/>
        <v>1.1926058437686349E-2</v>
      </c>
      <c r="AH16" s="32">
        <v>192.9</v>
      </c>
      <c r="AI16" s="4">
        <f t="shared" si="10"/>
        <v>1.0378827192527584E-3</v>
      </c>
      <c r="AJ16" s="32">
        <v>167.2</v>
      </c>
      <c r="AK16" s="4">
        <f t="shared" si="11"/>
        <v>9.0525045262521697E-3</v>
      </c>
      <c r="AL16" s="32">
        <v>157.4</v>
      </c>
      <c r="AM16" s="4">
        <f t="shared" si="12"/>
        <v>7.0377479206653604E-3</v>
      </c>
      <c r="AN16" s="32">
        <v>165.8</v>
      </c>
      <c r="AO16" s="4">
        <f t="shared" si="13"/>
        <v>9.1296409007912693E-3</v>
      </c>
      <c r="AP16" s="32">
        <v>164.2</v>
      </c>
      <c r="AQ16" s="4">
        <f t="shared" si="14"/>
        <v>3.6674816625916762E-3</v>
      </c>
      <c r="AR16" s="32">
        <v>163.9</v>
      </c>
      <c r="AS16" s="4">
        <f t="shared" si="15"/>
        <v>-1.8270401948842219E-3</v>
      </c>
      <c r="AT16" s="32">
        <v>159.30000000000001</v>
      </c>
      <c r="AU16" s="4">
        <f t="shared" si="16"/>
        <v>5.6818181818181213E-3</v>
      </c>
      <c r="AV16" s="32">
        <v>169.9</v>
      </c>
      <c r="AW16" s="4">
        <f t="shared" si="17"/>
        <v>4.7309284447072386E-3</v>
      </c>
      <c r="AX16" s="32">
        <v>154.80000000000001</v>
      </c>
      <c r="AY16" s="4">
        <f t="shared" si="18"/>
        <v>-5.7803468208090791E-3</v>
      </c>
      <c r="AZ16" s="32">
        <v>159.80000000000001</v>
      </c>
      <c r="BA16" s="4">
        <f t="shared" si="19"/>
        <v>7.5662042875159763E-3</v>
      </c>
      <c r="BB16" s="32">
        <v>164.3</v>
      </c>
      <c r="BC16" s="4">
        <f t="shared" si="20"/>
        <v>2.4405125076265577E-3</v>
      </c>
      <c r="BD16" s="32">
        <v>162.19999999999999</v>
      </c>
      <c r="BE16" s="4">
        <f t="shared" si="21"/>
        <v>8.7064676616914749E-3</v>
      </c>
      <c r="BF16" s="32">
        <v>161.4</v>
      </c>
      <c r="BG16" s="4">
        <f t="shared" si="22"/>
        <v>2.4844720496894901E-3</v>
      </c>
      <c r="BH16" s="32">
        <v>166.7</v>
      </c>
      <c r="BI16" s="4">
        <f t="shared" si="23"/>
        <v>7.2507552870089143E-3</v>
      </c>
    </row>
    <row r="17" spans="1:61">
      <c r="A17" t="s">
        <v>35</v>
      </c>
      <c r="B17">
        <v>2021</v>
      </c>
      <c r="C17" t="s">
        <v>55</v>
      </c>
      <c r="D17">
        <v>12</v>
      </c>
      <c r="E17" s="1">
        <v>44531</v>
      </c>
      <c r="F17">
        <v>168.08</v>
      </c>
      <c r="G17" s="32">
        <v>-7.6700000000000004E-2</v>
      </c>
      <c r="H17" s="32">
        <v>148.69999999999999</v>
      </c>
      <c r="I17" s="4">
        <f t="shared" si="24"/>
        <v>3.3738191632928238E-3</v>
      </c>
      <c r="J17" s="32">
        <v>198.8</v>
      </c>
      <c r="K17" s="4">
        <f t="shared" si="0"/>
        <v>-1.388888888888884E-2</v>
      </c>
      <c r="L17" s="34">
        <v>177.9</v>
      </c>
      <c r="M17" s="4">
        <f>(Analysis_5[[#This Row],[Egg]]/L16)-1</f>
        <v>2.8323699421965332E-2</v>
      </c>
      <c r="N17" s="34">
        <v>159.9</v>
      </c>
      <c r="O17" s="4">
        <f t="shared" si="25"/>
        <v>3.7664783427495685E-3</v>
      </c>
      <c r="P17" s="32">
        <v>187.6</v>
      </c>
      <c r="Q17" s="4">
        <f t="shared" si="1"/>
        <v>-1.3150973172014746E-2</v>
      </c>
      <c r="R17" s="32">
        <v>154.9</v>
      </c>
      <c r="S17" s="4">
        <f t="shared" si="2"/>
        <v>-1.0223642172523917E-2</v>
      </c>
      <c r="T17" s="32">
        <v>188.3</v>
      </c>
      <c r="U17" s="4">
        <f t="shared" si="3"/>
        <v>-5.4718875502007935E-2</v>
      </c>
      <c r="V17" s="32">
        <v>164.4</v>
      </c>
      <c r="W17" s="4">
        <f t="shared" si="4"/>
        <v>-5.4446460980036582E-3</v>
      </c>
      <c r="X17" s="32">
        <v>121</v>
      </c>
      <c r="Y17" s="4">
        <f t="shared" si="5"/>
        <v>-1.1437908496732097E-2</v>
      </c>
      <c r="Z17" s="32">
        <v>170.5</v>
      </c>
      <c r="AA17" s="4">
        <f t="shared" si="6"/>
        <v>5.3066037735849392E-3</v>
      </c>
      <c r="AB17" s="32">
        <v>164.2</v>
      </c>
      <c r="AC17" s="4">
        <f t="shared" si="7"/>
        <v>3.0543677458765295E-3</v>
      </c>
      <c r="AD17" s="32">
        <v>176.5</v>
      </c>
      <c r="AE17" s="4">
        <f t="shared" si="8"/>
        <v>5.6980056980056037E-3</v>
      </c>
      <c r="AF17" s="32">
        <v>168.2</v>
      </c>
      <c r="AG17" s="4">
        <f t="shared" si="9"/>
        <v>-8.8391278727165679E-3</v>
      </c>
      <c r="AH17" s="32">
        <v>192.4</v>
      </c>
      <c r="AI17" s="4">
        <f t="shared" si="10"/>
        <v>-2.5920165889061764E-3</v>
      </c>
      <c r="AJ17" s="32">
        <v>168.5</v>
      </c>
      <c r="AK17" s="4">
        <f t="shared" si="11"/>
        <v>7.7751196172248793E-3</v>
      </c>
      <c r="AL17" s="32">
        <v>158.69999999999999</v>
      </c>
      <c r="AM17" s="4">
        <f t="shared" si="12"/>
        <v>8.2592121982210109E-3</v>
      </c>
      <c r="AN17" s="32">
        <v>167</v>
      </c>
      <c r="AO17" s="4">
        <f t="shared" si="13"/>
        <v>7.2376357056693763E-3</v>
      </c>
      <c r="AP17" s="32">
        <v>163.4</v>
      </c>
      <c r="AQ17" s="4">
        <f t="shared" si="14"/>
        <v>-4.872107186357999E-3</v>
      </c>
      <c r="AR17" s="32">
        <v>164.1</v>
      </c>
      <c r="AS17" s="4">
        <f t="shared" si="15"/>
        <v>1.2202562538132788E-3</v>
      </c>
      <c r="AT17" s="32">
        <v>160.19999999999999</v>
      </c>
      <c r="AU17" s="4">
        <f t="shared" si="16"/>
        <v>5.6497175141241307E-3</v>
      </c>
      <c r="AV17" s="32">
        <v>170.6</v>
      </c>
      <c r="AW17" s="4">
        <f t="shared" si="17"/>
        <v>4.1200706297821466E-3</v>
      </c>
      <c r="AX17" s="32">
        <v>155.69999999999999</v>
      </c>
      <c r="AY17" s="4">
        <f t="shared" si="18"/>
        <v>5.8139534883718813E-3</v>
      </c>
      <c r="AZ17" s="32">
        <v>160.6</v>
      </c>
      <c r="BA17" s="4">
        <f t="shared" si="19"/>
        <v>5.0062578222778154E-3</v>
      </c>
      <c r="BB17" s="32">
        <v>164.4</v>
      </c>
      <c r="BC17" s="4">
        <f t="shared" si="20"/>
        <v>6.0864272671934394E-4</v>
      </c>
      <c r="BD17" s="32">
        <v>162.6</v>
      </c>
      <c r="BE17" s="4">
        <f t="shared" si="21"/>
        <v>2.4660912453762229E-3</v>
      </c>
      <c r="BF17" s="32">
        <v>162</v>
      </c>
      <c r="BG17" s="4">
        <f t="shared" si="22"/>
        <v>3.7174721189590088E-3</v>
      </c>
      <c r="BH17" s="32">
        <v>166.2</v>
      </c>
      <c r="BI17" s="4">
        <f t="shared" si="23"/>
        <v>-2.9994001199760145E-3</v>
      </c>
    </row>
    <row r="18" spans="1:61">
      <c r="A18" t="s">
        <v>35</v>
      </c>
      <c r="B18">
        <v>2022</v>
      </c>
      <c r="C18" t="s">
        <v>31</v>
      </c>
      <c r="D18">
        <v>1</v>
      </c>
      <c r="E18" s="1">
        <v>44562</v>
      </c>
      <c r="F18">
        <v>193.11</v>
      </c>
      <c r="G18" s="32">
        <v>0.1489</v>
      </c>
      <c r="H18" s="32">
        <v>149.5</v>
      </c>
      <c r="I18" s="4">
        <f t="shared" si="24"/>
        <v>5.3799596503028013E-3</v>
      </c>
      <c r="J18" s="32">
        <v>198.7</v>
      </c>
      <c r="K18" s="4">
        <f t="shared" si="0"/>
        <v>-5.0301810865205354E-4</v>
      </c>
      <c r="L18" s="34">
        <v>178.8</v>
      </c>
      <c r="M18" s="4">
        <f>(Analysis_5[[#This Row],[Egg]]/L17)-1</f>
        <v>5.0590219224284638E-3</v>
      </c>
      <c r="N18" s="34">
        <v>160.5</v>
      </c>
      <c r="O18" s="4">
        <f t="shared" si="25"/>
        <v>3.7523452157597337E-3</v>
      </c>
      <c r="P18" s="32">
        <v>184.7</v>
      </c>
      <c r="Q18" s="4">
        <f t="shared" si="1"/>
        <v>-1.545842217484017E-2</v>
      </c>
      <c r="R18" s="32">
        <v>153.69999999999999</v>
      </c>
      <c r="S18" s="4">
        <f t="shared" si="2"/>
        <v>-7.7469335054874966E-3</v>
      </c>
      <c r="T18" s="32">
        <v>174.3</v>
      </c>
      <c r="U18" s="4">
        <f t="shared" si="3"/>
        <v>-7.4349442379182173E-2</v>
      </c>
      <c r="V18" s="32">
        <v>163.9</v>
      </c>
      <c r="W18" s="4">
        <f t="shared" si="4"/>
        <v>-3.0413625304136493E-3</v>
      </c>
      <c r="X18" s="32">
        <v>120</v>
      </c>
      <c r="Y18" s="4">
        <f t="shared" si="5"/>
        <v>-8.2644628099173278E-3</v>
      </c>
      <c r="Z18" s="32">
        <v>172.1</v>
      </c>
      <c r="AA18" s="4">
        <f t="shared" si="6"/>
        <v>9.3841642228738031E-3</v>
      </c>
      <c r="AB18" s="32">
        <v>164.3</v>
      </c>
      <c r="AC18" s="4">
        <f t="shared" si="7"/>
        <v>6.0901339829499967E-4</v>
      </c>
      <c r="AD18" s="32">
        <v>177.3</v>
      </c>
      <c r="AE18" s="4">
        <f t="shared" si="8"/>
        <v>4.5325779036828884E-3</v>
      </c>
      <c r="AF18" s="32">
        <v>166.4</v>
      </c>
      <c r="AG18" s="4">
        <f t="shared" si="9"/>
        <v>-1.0701545778834642E-2</v>
      </c>
      <c r="AH18" s="32">
        <v>192.2</v>
      </c>
      <c r="AI18" s="4">
        <f t="shared" si="10"/>
        <v>-1.0395010395011228E-3</v>
      </c>
      <c r="AJ18" s="32">
        <v>169.9</v>
      </c>
      <c r="AK18" s="4">
        <f t="shared" si="11"/>
        <v>8.3086053412462224E-3</v>
      </c>
      <c r="AL18" s="32">
        <v>160.69999999999999</v>
      </c>
      <c r="AM18" s="4">
        <f t="shared" si="12"/>
        <v>1.2602394454946486E-2</v>
      </c>
      <c r="AN18" s="32">
        <v>168.5</v>
      </c>
      <c r="AO18" s="4">
        <f t="shared" si="13"/>
        <v>8.9820359281436168E-3</v>
      </c>
      <c r="AP18" s="32">
        <v>164.5</v>
      </c>
      <c r="AQ18" s="4">
        <f t="shared" si="14"/>
        <v>6.7319461444308448E-3</v>
      </c>
      <c r="AR18" s="32">
        <v>164.2</v>
      </c>
      <c r="AS18" s="4">
        <f t="shared" si="15"/>
        <v>6.0938452163306067E-4</v>
      </c>
      <c r="AT18" s="32">
        <v>161.1</v>
      </c>
      <c r="AU18" s="4">
        <f t="shared" si="16"/>
        <v>5.6179775280900124E-3</v>
      </c>
      <c r="AV18" s="32">
        <v>171.4</v>
      </c>
      <c r="AW18" s="4">
        <f t="shared" si="17"/>
        <v>4.6893317702227932E-3</v>
      </c>
      <c r="AX18" s="32">
        <v>156.5</v>
      </c>
      <c r="AY18" s="4">
        <f t="shared" si="18"/>
        <v>5.138086062941527E-3</v>
      </c>
      <c r="AZ18" s="32">
        <v>161.19999999999999</v>
      </c>
      <c r="BA18" s="4">
        <f t="shared" si="19"/>
        <v>3.7359900373599153E-3</v>
      </c>
      <c r="BB18" s="32">
        <v>164.7</v>
      </c>
      <c r="BC18" s="4">
        <f t="shared" si="20"/>
        <v>1.8248175182480342E-3</v>
      </c>
      <c r="BD18" s="32">
        <v>163</v>
      </c>
      <c r="BE18" s="4">
        <f t="shared" si="21"/>
        <v>2.4600246002459691E-3</v>
      </c>
      <c r="BF18" s="32">
        <v>162.69999999999999</v>
      </c>
      <c r="BG18" s="4">
        <f t="shared" si="22"/>
        <v>4.3209876543208736E-3</v>
      </c>
      <c r="BH18" s="32">
        <v>165.7</v>
      </c>
      <c r="BI18" s="4">
        <f t="shared" si="23"/>
        <v>-3.0084235860409203E-3</v>
      </c>
    </row>
    <row r="19" spans="1:61">
      <c r="A19" t="s">
        <v>35</v>
      </c>
      <c r="B19">
        <v>2022</v>
      </c>
      <c r="C19" t="s">
        <v>36</v>
      </c>
      <c r="D19">
        <v>2</v>
      </c>
      <c r="E19" s="1">
        <v>44593</v>
      </c>
      <c r="F19">
        <v>212.07</v>
      </c>
      <c r="G19" s="32">
        <v>9.8199999999999996E-2</v>
      </c>
      <c r="H19" s="32">
        <v>150</v>
      </c>
      <c r="I19" s="4">
        <f t="shared" si="24"/>
        <v>3.3444816053511683E-3</v>
      </c>
      <c r="J19" s="32">
        <v>200.6</v>
      </c>
      <c r="K19" s="4">
        <f t="shared" si="0"/>
        <v>9.5621540010064621E-3</v>
      </c>
      <c r="L19" s="34">
        <v>175.8</v>
      </c>
      <c r="M19" s="4">
        <f>(Analysis_5[[#This Row],[Egg]]/L18)-1</f>
        <v>-1.6778523489932917E-2</v>
      </c>
      <c r="N19" s="34">
        <v>160.69999999999999</v>
      </c>
      <c r="O19" s="4">
        <f t="shared" si="25"/>
        <v>1.2461059190029822E-3</v>
      </c>
      <c r="P19" s="32">
        <v>184.9</v>
      </c>
      <c r="Q19" s="4">
        <f t="shared" si="1"/>
        <v>1.0828370330266957E-3</v>
      </c>
      <c r="R19" s="32">
        <v>153.69999999999999</v>
      </c>
      <c r="S19" s="4">
        <f t="shared" si="2"/>
        <v>0</v>
      </c>
      <c r="T19" s="32">
        <v>169.7</v>
      </c>
      <c r="U19" s="4">
        <f t="shared" si="3"/>
        <v>-2.639127940332775E-2</v>
      </c>
      <c r="V19" s="32">
        <v>163.69999999999999</v>
      </c>
      <c r="W19" s="4">
        <f t="shared" si="4"/>
        <v>-1.2202562538133899E-3</v>
      </c>
      <c r="X19" s="32">
        <v>118.9</v>
      </c>
      <c r="Y19" s="4">
        <f t="shared" si="5"/>
        <v>-9.1666666666666563E-3</v>
      </c>
      <c r="Z19" s="32">
        <v>174.3</v>
      </c>
      <c r="AA19" s="4">
        <f t="shared" si="6"/>
        <v>1.2783265543288902E-2</v>
      </c>
      <c r="AB19" s="32">
        <v>164.7</v>
      </c>
      <c r="AC19" s="4">
        <f t="shared" si="7"/>
        <v>2.4345709068775978E-3</v>
      </c>
      <c r="AD19" s="32">
        <v>178</v>
      </c>
      <c r="AE19" s="4">
        <f t="shared" si="8"/>
        <v>3.9481105470953182E-3</v>
      </c>
      <c r="AF19" s="32">
        <v>166.2</v>
      </c>
      <c r="AG19" s="4">
        <f t="shared" si="9"/>
        <v>-1.2019230769231282E-3</v>
      </c>
      <c r="AH19" s="32">
        <v>192.8</v>
      </c>
      <c r="AI19" s="4">
        <f t="shared" si="10"/>
        <v>3.1217481789802548E-3</v>
      </c>
      <c r="AJ19" s="32">
        <v>170.8</v>
      </c>
      <c r="AK19" s="4">
        <f t="shared" si="11"/>
        <v>5.297233666862855E-3</v>
      </c>
      <c r="AL19" s="32">
        <v>162.4</v>
      </c>
      <c r="AM19" s="4">
        <f t="shared" si="12"/>
        <v>1.0578718108276375E-2</v>
      </c>
      <c r="AN19" s="32">
        <v>169.6</v>
      </c>
      <c r="AO19" s="4">
        <f t="shared" si="13"/>
        <v>6.5281899109792541E-3</v>
      </c>
      <c r="AP19" s="32">
        <v>165.5</v>
      </c>
      <c r="AQ19" s="4">
        <f t="shared" si="14"/>
        <v>6.0790273556230456E-3</v>
      </c>
      <c r="AR19" s="32">
        <v>165.7</v>
      </c>
      <c r="AS19" s="4">
        <f t="shared" si="15"/>
        <v>9.1352009744214424E-3</v>
      </c>
      <c r="AT19" s="32">
        <v>161.80000000000001</v>
      </c>
      <c r="AU19" s="4">
        <f t="shared" si="16"/>
        <v>4.3451272501553451E-3</v>
      </c>
      <c r="AV19" s="32">
        <v>172.2</v>
      </c>
      <c r="AW19" s="4">
        <f t="shared" si="17"/>
        <v>4.6674445740955139E-3</v>
      </c>
      <c r="AX19" s="32">
        <v>156.9</v>
      </c>
      <c r="AY19" s="4">
        <f t="shared" si="18"/>
        <v>2.5559105431309792E-3</v>
      </c>
      <c r="AZ19" s="32">
        <v>162.1</v>
      </c>
      <c r="BA19" s="4">
        <f t="shared" si="19"/>
        <v>5.5831265508685668E-3</v>
      </c>
      <c r="BB19" s="32">
        <v>165.4</v>
      </c>
      <c r="BC19" s="4">
        <f t="shared" si="20"/>
        <v>4.2501517911355258E-3</v>
      </c>
      <c r="BD19" s="32">
        <v>164.4</v>
      </c>
      <c r="BE19" s="4">
        <f t="shared" si="21"/>
        <v>8.5889570552146743E-3</v>
      </c>
      <c r="BF19" s="32">
        <v>163.5</v>
      </c>
      <c r="BG19" s="4">
        <f t="shared" si="22"/>
        <v>4.9170251997541214E-3</v>
      </c>
      <c r="BH19" s="32">
        <v>166.1</v>
      </c>
      <c r="BI19" s="4">
        <f t="shared" si="23"/>
        <v>2.4140012070006378E-3</v>
      </c>
    </row>
    <row r="20" spans="1:61">
      <c r="A20" t="s">
        <v>35</v>
      </c>
      <c r="B20">
        <v>2022</v>
      </c>
      <c r="C20" t="s">
        <v>38</v>
      </c>
      <c r="D20">
        <v>3</v>
      </c>
      <c r="E20" s="1">
        <v>44621</v>
      </c>
      <c r="F20">
        <v>254.43</v>
      </c>
      <c r="G20" s="32">
        <v>0.19969999999999999</v>
      </c>
      <c r="H20" s="32">
        <v>151.30000000000001</v>
      </c>
      <c r="I20" s="4">
        <f t="shared" si="24"/>
        <v>8.6666666666668224E-3</v>
      </c>
      <c r="J20" s="32">
        <v>210.7</v>
      </c>
      <c r="K20" s="4">
        <f t="shared" si="0"/>
        <v>5.0348953140578301E-2</v>
      </c>
      <c r="L20" s="34">
        <v>167.8</v>
      </c>
      <c r="M20" s="4">
        <f>(Analysis_5[[#This Row],[Egg]]/L19)-1</f>
        <v>-4.5506257110352721E-2</v>
      </c>
      <c r="N20" s="34">
        <v>162.19999999999999</v>
      </c>
      <c r="O20" s="4">
        <f t="shared" si="25"/>
        <v>9.3341630367143047E-3</v>
      </c>
      <c r="P20" s="32">
        <v>194.6</v>
      </c>
      <c r="Q20" s="4">
        <f t="shared" si="1"/>
        <v>5.246078961600853E-2</v>
      </c>
      <c r="R20" s="32">
        <v>157.6</v>
      </c>
      <c r="S20" s="4">
        <f t="shared" si="2"/>
        <v>2.5374105400130187E-2</v>
      </c>
      <c r="T20" s="32">
        <v>166.9</v>
      </c>
      <c r="U20" s="4">
        <f t="shared" si="3"/>
        <v>-1.6499705362404193E-2</v>
      </c>
      <c r="V20" s="32">
        <v>163.9</v>
      </c>
      <c r="W20" s="4">
        <f t="shared" si="4"/>
        <v>1.2217470983506562E-3</v>
      </c>
      <c r="X20" s="32">
        <v>118.8</v>
      </c>
      <c r="Y20" s="4">
        <f t="shared" si="5"/>
        <v>-8.4104289318764902E-4</v>
      </c>
      <c r="Z20" s="32">
        <v>177.4</v>
      </c>
      <c r="AA20" s="4">
        <f t="shared" si="6"/>
        <v>1.7785427423981703E-2</v>
      </c>
      <c r="AB20" s="32">
        <v>165.3</v>
      </c>
      <c r="AC20" s="4">
        <f t="shared" si="7"/>
        <v>3.6429872495447047E-3</v>
      </c>
      <c r="AD20" s="32">
        <v>179.3</v>
      </c>
      <c r="AE20" s="4">
        <f t="shared" si="8"/>
        <v>7.3033707865168829E-3</v>
      </c>
      <c r="AF20" s="32">
        <v>168.4</v>
      </c>
      <c r="AG20" s="4">
        <f t="shared" si="9"/>
        <v>1.3237063778580138E-2</v>
      </c>
      <c r="AH20" s="32">
        <v>193.7</v>
      </c>
      <c r="AI20" s="4">
        <f t="shared" si="10"/>
        <v>4.6680497925311037E-3</v>
      </c>
      <c r="AJ20" s="32">
        <v>172.1</v>
      </c>
      <c r="AK20" s="4">
        <f t="shared" si="11"/>
        <v>7.6112412177984368E-3</v>
      </c>
      <c r="AL20" s="32">
        <v>164.6</v>
      </c>
      <c r="AM20" s="4">
        <f t="shared" si="12"/>
        <v>1.3546798029556495E-2</v>
      </c>
      <c r="AN20" s="32">
        <v>171.1</v>
      </c>
      <c r="AO20" s="4">
        <f t="shared" si="13"/>
        <v>8.8443396226414173E-3</v>
      </c>
      <c r="AP20" s="32">
        <v>165.3</v>
      </c>
      <c r="AQ20" s="4">
        <f t="shared" si="14"/>
        <v>-1.2084592145014117E-3</v>
      </c>
      <c r="AR20" s="32">
        <v>167.2</v>
      </c>
      <c r="AS20" s="4">
        <f t="shared" si="15"/>
        <v>9.0525045262521697E-3</v>
      </c>
      <c r="AT20" s="32">
        <v>162.80000000000001</v>
      </c>
      <c r="AU20" s="4">
        <f t="shared" si="16"/>
        <v>6.1804697156984112E-3</v>
      </c>
      <c r="AV20" s="32">
        <v>173</v>
      </c>
      <c r="AW20" s="4">
        <f t="shared" si="17"/>
        <v>4.6457607433216808E-3</v>
      </c>
      <c r="AX20" s="32">
        <v>157.9</v>
      </c>
      <c r="AY20" s="4">
        <f t="shared" si="18"/>
        <v>6.3734862970044048E-3</v>
      </c>
      <c r="AZ20" s="32">
        <v>163.30000000000001</v>
      </c>
      <c r="BA20" s="4">
        <f t="shared" si="19"/>
        <v>7.402837754472591E-3</v>
      </c>
      <c r="BB20" s="32">
        <v>166</v>
      </c>
      <c r="BC20" s="4">
        <f t="shared" si="20"/>
        <v>3.6275695284160303E-3</v>
      </c>
      <c r="BD20" s="32">
        <v>167.2</v>
      </c>
      <c r="BE20" s="4">
        <f t="shared" si="21"/>
        <v>1.703163017031617E-2</v>
      </c>
      <c r="BF20" s="32">
        <v>164.6</v>
      </c>
      <c r="BG20" s="4">
        <f t="shared" si="22"/>
        <v>6.7278287461773889E-3</v>
      </c>
      <c r="BH20" s="32">
        <v>167.7</v>
      </c>
      <c r="BI20" s="4">
        <f t="shared" si="23"/>
        <v>9.6327513546057286E-3</v>
      </c>
    </row>
    <row r="21" spans="1:61">
      <c r="A21" t="s">
        <v>35</v>
      </c>
      <c r="B21">
        <v>2022</v>
      </c>
      <c r="C21" t="s">
        <v>39</v>
      </c>
      <c r="D21">
        <v>4</v>
      </c>
      <c r="E21" s="1">
        <v>44652</v>
      </c>
      <c r="F21">
        <v>244.04</v>
      </c>
      <c r="G21" s="32">
        <v>-4.0800000000000003E-2</v>
      </c>
      <c r="H21" s="32">
        <v>152.9</v>
      </c>
      <c r="I21" s="4">
        <f t="shared" si="24"/>
        <v>1.0575016523463265E-2</v>
      </c>
      <c r="J21" s="32">
        <v>211.8</v>
      </c>
      <c r="K21" s="4">
        <f t="shared" si="0"/>
        <v>5.2206929283342696E-3</v>
      </c>
      <c r="L21" s="34">
        <v>164.5</v>
      </c>
      <c r="M21" s="4">
        <f>(Analysis_5[[#This Row],[Egg]]/L20)-1</f>
        <v>-1.966626936829563E-2</v>
      </c>
      <c r="N21" s="34">
        <v>163.9</v>
      </c>
      <c r="O21" s="4">
        <f t="shared" si="25"/>
        <v>1.0480887792848392E-2</v>
      </c>
      <c r="P21" s="32">
        <v>199.5</v>
      </c>
      <c r="Q21" s="4">
        <f t="shared" si="1"/>
        <v>2.5179856115107979E-2</v>
      </c>
      <c r="R21" s="32">
        <v>172.6</v>
      </c>
      <c r="S21" s="4">
        <f t="shared" si="2"/>
        <v>9.5177664974619214E-2</v>
      </c>
      <c r="T21" s="32">
        <v>166.2</v>
      </c>
      <c r="U21" s="4">
        <f t="shared" si="3"/>
        <v>-4.1941282204913666E-3</v>
      </c>
      <c r="V21" s="32">
        <v>164.7</v>
      </c>
      <c r="W21" s="4">
        <f t="shared" si="4"/>
        <v>4.8810250152531154E-3</v>
      </c>
      <c r="X21" s="32">
        <v>119</v>
      </c>
      <c r="Y21" s="4">
        <f t="shared" si="5"/>
        <v>1.6835016835017313E-3</v>
      </c>
      <c r="Z21" s="32">
        <v>181.3</v>
      </c>
      <c r="AA21" s="4">
        <f t="shared" si="6"/>
        <v>2.1984216459977501E-2</v>
      </c>
      <c r="AB21" s="32">
        <v>166.2</v>
      </c>
      <c r="AC21" s="4">
        <f t="shared" si="7"/>
        <v>5.4446460980035472E-3</v>
      </c>
      <c r="AD21" s="32">
        <v>180.9</v>
      </c>
      <c r="AE21" s="4">
        <f t="shared" si="8"/>
        <v>8.9235917456775837E-3</v>
      </c>
      <c r="AF21" s="32">
        <v>170.8</v>
      </c>
      <c r="AG21" s="4">
        <f t="shared" si="9"/>
        <v>1.4251781472684133E-2</v>
      </c>
      <c r="AH21" s="32">
        <v>193.9</v>
      </c>
      <c r="AI21" s="4">
        <f t="shared" si="10"/>
        <v>1.0325245224573898E-3</v>
      </c>
      <c r="AJ21" s="32">
        <v>173.9</v>
      </c>
      <c r="AK21" s="4">
        <f t="shared" si="11"/>
        <v>1.0459035444509102E-2</v>
      </c>
      <c r="AL21" s="32">
        <v>166.5</v>
      </c>
      <c r="AM21" s="4">
        <f t="shared" si="12"/>
        <v>1.1543134872417982E-2</v>
      </c>
      <c r="AN21" s="32">
        <v>172.8</v>
      </c>
      <c r="AO21" s="4">
        <f t="shared" si="13"/>
        <v>9.9357101110462143E-3</v>
      </c>
      <c r="AP21" s="32">
        <v>167</v>
      </c>
      <c r="AQ21" s="4">
        <f t="shared" si="14"/>
        <v>1.0284331518451317E-2</v>
      </c>
      <c r="AR21" s="32">
        <v>172.2</v>
      </c>
      <c r="AS21" s="4">
        <f t="shared" si="15"/>
        <v>2.9904306220095656E-2</v>
      </c>
      <c r="AT21" s="32">
        <v>164</v>
      </c>
      <c r="AU21" s="4">
        <f t="shared" si="16"/>
        <v>7.3710073710073765E-3</v>
      </c>
      <c r="AV21" s="32">
        <v>174</v>
      </c>
      <c r="AW21" s="4">
        <f t="shared" si="17"/>
        <v>5.7803468208093012E-3</v>
      </c>
      <c r="AX21" s="32">
        <v>162.6</v>
      </c>
      <c r="AY21" s="4">
        <f t="shared" si="18"/>
        <v>2.9765674477517434E-2</v>
      </c>
      <c r="AZ21" s="32">
        <v>164.4</v>
      </c>
      <c r="BA21" s="4">
        <f t="shared" si="19"/>
        <v>6.7360685854256364E-3</v>
      </c>
      <c r="BB21" s="32">
        <v>166.9</v>
      </c>
      <c r="BC21" s="4">
        <f t="shared" si="20"/>
        <v>5.4216867469880636E-3</v>
      </c>
      <c r="BD21" s="32">
        <v>168.8</v>
      </c>
      <c r="BE21" s="4">
        <f t="shared" si="21"/>
        <v>9.5693779904306719E-3</v>
      </c>
      <c r="BF21" s="32">
        <v>166.8</v>
      </c>
      <c r="BG21" s="4">
        <f t="shared" si="22"/>
        <v>1.3365735115431487E-2</v>
      </c>
      <c r="BH21" s="32">
        <v>170.1</v>
      </c>
      <c r="BI21" s="4">
        <f t="shared" si="23"/>
        <v>1.4311270125223707E-2</v>
      </c>
    </row>
    <row r="22" spans="1:61">
      <c r="A22" t="s">
        <v>35</v>
      </c>
      <c r="B22">
        <v>2022</v>
      </c>
      <c r="C22" t="s">
        <v>41</v>
      </c>
      <c r="D22">
        <v>5</v>
      </c>
      <c r="E22" s="1">
        <v>44682</v>
      </c>
      <c r="F22">
        <v>263.12</v>
      </c>
      <c r="G22" s="32">
        <v>7.8200000000000006E-2</v>
      </c>
      <c r="H22" s="32">
        <v>154.1</v>
      </c>
      <c r="I22" s="4">
        <f t="shared" si="24"/>
        <v>7.8482668410724266E-3</v>
      </c>
      <c r="J22" s="32">
        <v>217</v>
      </c>
      <c r="K22" s="4">
        <f t="shared" si="0"/>
        <v>2.455146364494798E-2</v>
      </c>
      <c r="L22" s="34">
        <v>162.4</v>
      </c>
      <c r="M22" s="4">
        <f>(Analysis_5[[#This Row],[Egg]]/L21)-1</f>
        <v>-1.2765957446808529E-2</v>
      </c>
      <c r="N22" s="34">
        <v>164.9</v>
      </c>
      <c r="O22" s="4">
        <f t="shared" si="25"/>
        <v>6.1012812690663942E-3</v>
      </c>
      <c r="P22" s="32">
        <v>202.4</v>
      </c>
      <c r="Q22" s="4">
        <f t="shared" si="1"/>
        <v>1.4536340852130403E-2</v>
      </c>
      <c r="R22" s="32">
        <v>171</v>
      </c>
      <c r="S22" s="4">
        <f t="shared" si="2"/>
        <v>-9.2699884125144738E-3</v>
      </c>
      <c r="T22" s="32">
        <v>174.9</v>
      </c>
      <c r="U22" s="4">
        <f t="shared" si="3"/>
        <v>5.2346570397111991E-2</v>
      </c>
      <c r="V22" s="32">
        <v>164.7</v>
      </c>
      <c r="W22" s="4">
        <f t="shared" si="4"/>
        <v>0</v>
      </c>
      <c r="X22" s="32">
        <v>119.7</v>
      </c>
      <c r="Y22" s="4">
        <f t="shared" si="5"/>
        <v>5.8823529411764497E-3</v>
      </c>
      <c r="Z22" s="32">
        <v>184.9</v>
      </c>
      <c r="AA22" s="4">
        <f t="shared" si="6"/>
        <v>1.9856591285162706E-2</v>
      </c>
      <c r="AB22" s="32">
        <v>167.1</v>
      </c>
      <c r="AC22" s="4">
        <f t="shared" si="7"/>
        <v>5.4151624548737232E-3</v>
      </c>
      <c r="AD22" s="32">
        <v>182.5</v>
      </c>
      <c r="AE22" s="4">
        <f t="shared" si="8"/>
        <v>8.8446655610834313E-3</v>
      </c>
      <c r="AF22" s="32">
        <v>173.3</v>
      </c>
      <c r="AG22" s="4">
        <f t="shared" si="9"/>
        <v>1.4637002341920446E-2</v>
      </c>
      <c r="AH22" s="32">
        <v>194.1</v>
      </c>
      <c r="AI22" s="4">
        <f t="shared" si="10"/>
        <v>1.0314595152138839E-3</v>
      </c>
      <c r="AJ22" s="32">
        <v>175.6</v>
      </c>
      <c r="AK22" s="4">
        <f t="shared" si="11"/>
        <v>9.7757331799883662E-3</v>
      </c>
      <c r="AL22" s="32">
        <v>168.4</v>
      </c>
      <c r="AM22" s="4">
        <f t="shared" si="12"/>
        <v>1.1411411411411443E-2</v>
      </c>
      <c r="AN22" s="32">
        <v>174.6</v>
      </c>
      <c r="AO22" s="4">
        <f t="shared" si="13"/>
        <v>1.0416666666666519E-2</v>
      </c>
      <c r="AP22" s="32">
        <v>167.5</v>
      </c>
      <c r="AQ22" s="4">
        <f t="shared" si="14"/>
        <v>2.9940119760478723E-3</v>
      </c>
      <c r="AR22" s="32">
        <v>174.6</v>
      </c>
      <c r="AS22" s="4">
        <f t="shared" si="15"/>
        <v>1.3937282229965264E-2</v>
      </c>
      <c r="AT22" s="32">
        <v>165.2</v>
      </c>
      <c r="AU22" s="4">
        <f t="shared" si="16"/>
        <v>7.3170731707317138E-3</v>
      </c>
      <c r="AV22" s="32">
        <v>174.8</v>
      </c>
      <c r="AW22" s="4">
        <f t="shared" si="17"/>
        <v>4.5977011494253706E-3</v>
      </c>
      <c r="AX22" s="32">
        <v>163</v>
      </c>
      <c r="AY22" s="4">
        <f t="shared" si="18"/>
        <v>2.4600246002459691E-3</v>
      </c>
      <c r="AZ22" s="32">
        <v>165.1</v>
      </c>
      <c r="BA22" s="4">
        <f t="shared" si="19"/>
        <v>4.2579075425790425E-3</v>
      </c>
      <c r="BB22" s="32">
        <v>167.9</v>
      </c>
      <c r="BC22" s="4">
        <f t="shared" si="20"/>
        <v>5.9916117435589999E-3</v>
      </c>
      <c r="BD22" s="32">
        <v>168.4</v>
      </c>
      <c r="BE22" s="4">
        <f t="shared" si="21"/>
        <v>-2.3696682464455776E-3</v>
      </c>
      <c r="BF22" s="32">
        <v>167.5</v>
      </c>
      <c r="BG22" s="4">
        <f t="shared" si="22"/>
        <v>4.1966426858512929E-3</v>
      </c>
      <c r="BH22" s="32">
        <v>171.7</v>
      </c>
      <c r="BI22" s="4">
        <f t="shared" si="23"/>
        <v>9.4062316284537761E-3</v>
      </c>
    </row>
    <row r="23" spans="1:61">
      <c r="A23" t="s">
        <v>35</v>
      </c>
      <c r="B23">
        <v>2022</v>
      </c>
      <c r="C23" t="s">
        <v>42</v>
      </c>
      <c r="D23">
        <v>6</v>
      </c>
      <c r="E23" s="1">
        <v>44713</v>
      </c>
      <c r="F23">
        <v>275.43</v>
      </c>
      <c r="G23" s="32">
        <v>4.6800000000000001E-2</v>
      </c>
      <c r="H23" s="32">
        <v>155</v>
      </c>
      <c r="I23" s="4">
        <f t="shared" si="24"/>
        <v>5.8403634003894034E-3</v>
      </c>
      <c r="J23" s="32">
        <v>219.4</v>
      </c>
      <c r="K23" s="4">
        <f t="shared" si="0"/>
        <v>1.1059907834101379E-2</v>
      </c>
      <c r="L23" s="34">
        <v>170.8</v>
      </c>
      <c r="M23" s="4">
        <f>(Analysis_5[[#This Row],[Egg]]/L22)-1</f>
        <v>5.1724137931034475E-2</v>
      </c>
      <c r="N23" s="34">
        <v>165.8</v>
      </c>
      <c r="O23" s="4">
        <f t="shared" si="25"/>
        <v>5.4578532443905203E-3</v>
      </c>
      <c r="P23" s="32">
        <v>200.9</v>
      </c>
      <c r="Q23" s="4">
        <f t="shared" si="1"/>
        <v>-7.4110671936759021E-3</v>
      </c>
      <c r="R23" s="32">
        <v>169.7</v>
      </c>
      <c r="S23" s="4">
        <f t="shared" si="2"/>
        <v>-7.6023391812866103E-3</v>
      </c>
      <c r="T23" s="32">
        <v>182.3</v>
      </c>
      <c r="U23" s="4">
        <f t="shared" si="3"/>
        <v>4.2309891366495211E-2</v>
      </c>
      <c r="V23" s="32">
        <v>164.3</v>
      </c>
      <c r="W23" s="4">
        <f t="shared" si="4"/>
        <v>-2.4286581663629514E-3</v>
      </c>
      <c r="X23" s="32">
        <v>119.9</v>
      </c>
      <c r="Y23" s="4">
        <f t="shared" si="5"/>
        <v>1.6708437761070449E-3</v>
      </c>
      <c r="Z23" s="32">
        <v>187.1</v>
      </c>
      <c r="AA23" s="4">
        <f t="shared" si="6"/>
        <v>1.189832341806385E-2</v>
      </c>
      <c r="AB23" s="32">
        <v>167.9</v>
      </c>
      <c r="AC23" s="4">
        <f t="shared" si="7"/>
        <v>4.7875523638540862E-3</v>
      </c>
      <c r="AD23" s="32">
        <v>183.9</v>
      </c>
      <c r="AE23" s="4">
        <f t="shared" si="8"/>
        <v>7.6712328767123417E-3</v>
      </c>
      <c r="AF23" s="32">
        <v>174.9</v>
      </c>
      <c r="AG23" s="4">
        <f t="shared" si="9"/>
        <v>9.2325447201384581E-3</v>
      </c>
      <c r="AH23" s="32">
        <v>194.3</v>
      </c>
      <c r="AI23" s="4">
        <f t="shared" si="10"/>
        <v>1.0303967027305294E-3</v>
      </c>
      <c r="AJ23" s="32">
        <v>177.1</v>
      </c>
      <c r="AK23" s="4">
        <f t="shared" si="11"/>
        <v>8.5421412300683564E-3</v>
      </c>
      <c r="AL23" s="32">
        <v>169.9</v>
      </c>
      <c r="AM23" s="4">
        <f t="shared" si="12"/>
        <v>8.9073634204275276E-3</v>
      </c>
      <c r="AN23" s="32">
        <v>176</v>
      </c>
      <c r="AO23" s="4">
        <f t="shared" si="13"/>
        <v>8.0183276059564434E-3</v>
      </c>
      <c r="AP23" s="32">
        <v>166.8</v>
      </c>
      <c r="AQ23" s="4">
        <f t="shared" si="14"/>
        <v>-4.179104477611828E-3</v>
      </c>
      <c r="AR23" s="32">
        <v>176</v>
      </c>
      <c r="AS23" s="4">
        <f t="shared" si="15"/>
        <v>8.0183276059564434E-3</v>
      </c>
      <c r="AT23" s="32">
        <v>166.4</v>
      </c>
      <c r="AU23" s="4">
        <f t="shared" si="16"/>
        <v>7.2639225181598821E-3</v>
      </c>
      <c r="AV23" s="32">
        <v>175.4</v>
      </c>
      <c r="AW23" s="4">
        <f t="shared" si="17"/>
        <v>3.4324942791761348E-3</v>
      </c>
      <c r="AX23" s="32">
        <v>161.1</v>
      </c>
      <c r="AY23" s="4">
        <f t="shared" si="18"/>
        <v>-1.1656441717791455E-2</v>
      </c>
      <c r="AZ23" s="32">
        <v>165.8</v>
      </c>
      <c r="BA23" s="4">
        <f t="shared" si="19"/>
        <v>4.2398546335555842E-3</v>
      </c>
      <c r="BB23" s="32">
        <v>169</v>
      </c>
      <c r="BC23" s="4">
        <f t="shared" si="20"/>
        <v>6.5515187611673298E-3</v>
      </c>
      <c r="BD23" s="32">
        <v>169.4</v>
      </c>
      <c r="BE23" s="4">
        <f t="shared" si="21"/>
        <v>5.9382422802849444E-3</v>
      </c>
      <c r="BF23" s="32">
        <v>167.5</v>
      </c>
      <c r="BG23" s="4">
        <f t="shared" si="22"/>
        <v>0</v>
      </c>
      <c r="BH23" s="32">
        <v>172.6</v>
      </c>
      <c r="BI23" s="4">
        <f t="shared" si="23"/>
        <v>5.2417006406524358E-3</v>
      </c>
    </row>
    <row r="24" spans="1:61">
      <c r="A24" t="s">
        <v>35</v>
      </c>
      <c r="B24">
        <v>2022</v>
      </c>
      <c r="C24" t="s">
        <v>44</v>
      </c>
      <c r="D24">
        <v>7</v>
      </c>
      <c r="E24" s="1">
        <v>44743</v>
      </c>
      <c r="F24">
        <v>250.05</v>
      </c>
      <c r="G24" s="32">
        <v>-9.2100000000000001E-2</v>
      </c>
      <c r="H24" s="32">
        <v>156.5</v>
      </c>
      <c r="I24" s="4">
        <f t="shared" si="24"/>
        <v>9.6774193548387899E-3</v>
      </c>
      <c r="J24" s="32">
        <v>213</v>
      </c>
      <c r="K24" s="4">
        <f t="shared" si="0"/>
        <v>-2.9170464904284432E-2</v>
      </c>
      <c r="L24" s="34">
        <v>175.2</v>
      </c>
      <c r="M24" s="4">
        <f>(Analysis_5[[#This Row],[Egg]]/L23)-1</f>
        <v>2.5761124121779666E-2</v>
      </c>
      <c r="N24" s="34">
        <v>166.6</v>
      </c>
      <c r="O24" s="4">
        <f t="shared" si="25"/>
        <v>4.8250904704463249E-3</v>
      </c>
      <c r="P24" s="32">
        <v>195.8</v>
      </c>
      <c r="Q24" s="4">
        <f t="shared" si="1"/>
        <v>-2.5385764061722216E-2</v>
      </c>
      <c r="R24" s="32">
        <v>174.2</v>
      </c>
      <c r="S24" s="4">
        <f t="shared" si="2"/>
        <v>2.6517383618149593E-2</v>
      </c>
      <c r="T24" s="32">
        <v>182.1</v>
      </c>
      <c r="U24" s="4">
        <f t="shared" si="3"/>
        <v>-1.0970927043335577E-3</v>
      </c>
      <c r="V24" s="32">
        <v>164.3</v>
      </c>
      <c r="W24" s="4">
        <f t="shared" si="4"/>
        <v>0</v>
      </c>
      <c r="X24" s="32">
        <v>120</v>
      </c>
      <c r="Y24" s="4">
        <f t="shared" si="5"/>
        <v>8.3402835696411159E-4</v>
      </c>
      <c r="Z24" s="32">
        <v>190</v>
      </c>
      <c r="AA24" s="4">
        <f t="shared" si="6"/>
        <v>1.5499732763228247E-2</v>
      </c>
      <c r="AB24" s="32">
        <v>168.4</v>
      </c>
      <c r="AC24" s="4">
        <f t="shared" si="7"/>
        <v>2.9779630732578166E-3</v>
      </c>
      <c r="AD24" s="32">
        <v>185.2</v>
      </c>
      <c r="AE24" s="4">
        <f t="shared" si="8"/>
        <v>7.0690592713429368E-3</v>
      </c>
      <c r="AF24" s="32">
        <v>175</v>
      </c>
      <c r="AG24" s="4">
        <f t="shared" si="9"/>
        <v>5.7175528873631976E-4</v>
      </c>
      <c r="AH24" s="32">
        <v>194.6</v>
      </c>
      <c r="AI24" s="4">
        <f t="shared" si="10"/>
        <v>1.5440041173442332E-3</v>
      </c>
      <c r="AJ24" s="32">
        <v>178.3</v>
      </c>
      <c r="AK24" s="4">
        <f t="shared" si="11"/>
        <v>6.7758328627893771E-3</v>
      </c>
      <c r="AL24" s="32">
        <v>171.3</v>
      </c>
      <c r="AM24" s="4">
        <f t="shared" si="12"/>
        <v>8.2401412595645152E-3</v>
      </c>
      <c r="AN24" s="32">
        <v>177.3</v>
      </c>
      <c r="AO24" s="4">
        <f t="shared" si="13"/>
        <v>7.3863636363638019E-3</v>
      </c>
      <c r="AP24" s="32">
        <v>167.8</v>
      </c>
      <c r="AQ24" s="4">
        <f t="shared" si="14"/>
        <v>5.9952038369304184E-3</v>
      </c>
      <c r="AR24" s="32">
        <v>179.6</v>
      </c>
      <c r="AS24" s="4">
        <f t="shared" si="15"/>
        <v>2.0454545454545503E-2</v>
      </c>
      <c r="AT24" s="32">
        <v>167.4</v>
      </c>
      <c r="AU24" s="4">
        <f t="shared" si="16"/>
        <v>6.0096153846154188E-3</v>
      </c>
      <c r="AV24" s="32">
        <v>176.1</v>
      </c>
      <c r="AW24" s="4">
        <f t="shared" si="17"/>
        <v>3.9908779931583371E-3</v>
      </c>
      <c r="AX24" s="32">
        <v>161.6</v>
      </c>
      <c r="AY24" s="4">
        <f t="shared" si="18"/>
        <v>3.1036623215394687E-3</v>
      </c>
      <c r="AZ24" s="32">
        <v>166.3</v>
      </c>
      <c r="BA24" s="4">
        <f t="shared" si="19"/>
        <v>3.0156815440289808E-3</v>
      </c>
      <c r="BB24" s="32">
        <v>171.4</v>
      </c>
      <c r="BC24" s="4">
        <f t="shared" si="20"/>
        <v>1.4201183431952646E-2</v>
      </c>
      <c r="BD24" s="32">
        <v>169.7</v>
      </c>
      <c r="BE24" s="4">
        <f t="shared" si="21"/>
        <v>1.7709563164107767E-3</v>
      </c>
      <c r="BF24" s="32">
        <v>168.4</v>
      </c>
      <c r="BG24" s="4">
        <f t="shared" si="22"/>
        <v>5.3731343283582866E-3</v>
      </c>
      <c r="BH24" s="32">
        <v>173.4</v>
      </c>
      <c r="BI24" s="4">
        <f t="shared" si="23"/>
        <v>4.6349942062573479E-3</v>
      </c>
    </row>
    <row r="25" spans="1:61">
      <c r="A25" t="s">
        <v>35</v>
      </c>
      <c r="B25">
        <v>2022</v>
      </c>
      <c r="C25" t="s">
        <v>46</v>
      </c>
      <c r="D25">
        <v>8</v>
      </c>
      <c r="E25" s="1">
        <v>44774</v>
      </c>
      <c r="F25">
        <v>233.9</v>
      </c>
      <c r="G25" s="32">
        <v>-6.4600000000000005E-2</v>
      </c>
      <c r="H25" s="32">
        <v>160.30000000000001</v>
      </c>
      <c r="I25" s="4">
        <f t="shared" si="24"/>
        <v>2.4281150159744413E-2</v>
      </c>
      <c r="J25" s="32">
        <v>206.5</v>
      </c>
      <c r="K25" s="4">
        <f t="shared" si="0"/>
        <v>-3.0516431924882625E-2</v>
      </c>
      <c r="L25" s="34">
        <v>169.2</v>
      </c>
      <c r="M25" s="4">
        <f>(Analysis_5[[#This Row],[Egg]]/L24)-1</f>
        <v>-3.4246575342465779E-2</v>
      </c>
      <c r="N25" s="34">
        <v>168.1</v>
      </c>
      <c r="O25" s="4">
        <f t="shared" si="25"/>
        <v>9.0036014405763254E-3</v>
      </c>
      <c r="P25" s="32">
        <v>192.4</v>
      </c>
      <c r="Q25" s="4">
        <f t="shared" si="1"/>
        <v>-1.7364657814096018E-2</v>
      </c>
      <c r="R25" s="32">
        <v>172.9</v>
      </c>
      <c r="S25" s="4">
        <f t="shared" si="2"/>
        <v>-7.4626865671640896E-3</v>
      </c>
      <c r="T25" s="32">
        <v>186.7</v>
      </c>
      <c r="U25" s="4">
        <f t="shared" si="3"/>
        <v>2.5260845689181632E-2</v>
      </c>
      <c r="V25" s="32">
        <v>167.2</v>
      </c>
      <c r="W25" s="4">
        <f t="shared" si="4"/>
        <v>1.7650639074862973E-2</v>
      </c>
      <c r="X25" s="32">
        <v>120.9</v>
      </c>
      <c r="Y25" s="4">
        <f t="shared" si="5"/>
        <v>7.5000000000000622E-3</v>
      </c>
      <c r="Z25" s="32">
        <v>193.6</v>
      </c>
      <c r="AA25" s="4">
        <f t="shared" si="6"/>
        <v>1.8947368421052602E-2</v>
      </c>
      <c r="AB25" s="32">
        <v>168.8</v>
      </c>
      <c r="AC25" s="4">
        <f t="shared" si="7"/>
        <v>2.3752969121140222E-3</v>
      </c>
      <c r="AD25" s="32">
        <v>186.3</v>
      </c>
      <c r="AE25" s="4">
        <f t="shared" si="8"/>
        <v>5.9395248380131882E-3</v>
      </c>
      <c r="AF25" s="32">
        <v>176.3</v>
      </c>
      <c r="AG25" s="4">
        <f t="shared" si="9"/>
        <v>7.4285714285715621E-3</v>
      </c>
      <c r="AH25" s="32">
        <v>195</v>
      </c>
      <c r="AI25" s="4">
        <f t="shared" si="10"/>
        <v>2.0554984583762703E-3</v>
      </c>
      <c r="AJ25" s="32">
        <v>179.5</v>
      </c>
      <c r="AK25" s="4">
        <f t="shared" si="11"/>
        <v>6.7302299495231033E-3</v>
      </c>
      <c r="AL25" s="32">
        <v>172.7</v>
      </c>
      <c r="AM25" s="4">
        <f t="shared" si="12"/>
        <v>8.172796263864468E-3</v>
      </c>
      <c r="AN25" s="32">
        <v>178.5</v>
      </c>
      <c r="AO25" s="4">
        <f t="shared" si="13"/>
        <v>6.7681895093061328E-3</v>
      </c>
      <c r="AP25" s="32">
        <v>169</v>
      </c>
      <c r="AQ25" s="4">
        <f t="shared" si="14"/>
        <v>7.151370679380209E-3</v>
      </c>
      <c r="AR25" s="32">
        <v>178.8</v>
      </c>
      <c r="AS25" s="4">
        <f t="shared" si="15"/>
        <v>-4.4543429844097204E-3</v>
      </c>
      <c r="AT25" s="32">
        <v>168.5</v>
      </c>
      <c r="AU25" s="4">
        <f t="shared" si="16"/>
        <v>6.5710872162485501E-3</v>
      </c>
      <c r="AV25" s="32">
        <v>176.8</v>
      </c>
      <c r="AW25" s="4">
        <f t="shared" si="17"/>
        <v>3.9750141964793873E-3</v>
      </c>
      <c r="AX25" s="32">
        <v>161.9</v>
      </c>
      <c r="AY25" s="4">
        <f t="shared" si="18"/>
        <v>1.8564356435644136E-3</v>
      </c>
      <c r="AZ25" s="32">
        <v>166.9</v>
      </c>
      <c r="BA25" s="4">
        <f t="shared" si="19"/>
        <v>3.6079374624173877E-3</v>
      </c>
      <c r="BB25" s="32">
        <v>172.3</v>
      </c>
      <c r="BC25" s="4">
        <f t="shared" si="20"/>
        <v>5.2508751458577585E-3</v>
      </c>
      <c r="BD25" s="32">
        <v>171.2</v>
      </c>
      <c r="BE25" s="4">
        <f t="shared" si="21"/>
        <v>8.8391278727164568E-3</v>
      </c>
      <c r="BF25" s="32">
        <v>169.1</v>
      </c>
      <c r="BG25" s="4">
        <f t="shared" si="22"/>
        <v>4.1567695961994833E-3</v>
      </c>
      <c r="BH25" s="32">
        <v>174.3</v>
      </c>
      <c r="BI25" s="4">
        <f t="shared" si="23"/>
        <v>5.1903114186850896E-3</v>
      </c>
    </row>
    <row r="26" spans="1:61">
      <c r="A26" t="s">
        <v>35</v>
      </c>
      <c r="B26">
        <v>2022</v>
      </c>
      <c r="C26" t="s">
        <v>48</v>
      </c>
      <c r="D26">
        <v>9</v>
      </c>
      <c r="E26" s="1">
        <v>44805</v>
      </c>
      <c r="F26">
        <v>219.82</v>
      </c>
      <c r="G26" s="32">
        <v>-6.0199999999999997E-2</v>
      </c>
      <c r="H26" s="32">
        <v>163.5</v>
      </c>
      <c r="I26" s="4">
        <f t="shared" si="24"/>
        <v>1.9962570180910744E-2</v>
      </c>
      <c r="J26" s="32">
        <v>209.2</v>
      </c>
      <c r="K26" s="4">
        <f t="shared" si="0"/>
        <v>1.3075060532687699E-2</v>
      </c>
      <c r="L26" s="34">
        <v>169.7</v>
      </c>
      <c r="M26" s="4">
        <f>(Analysis_5[[#This Row],[Egg]]/L25)-1</f>
        <v>2.9550827423168169E-3</v>
      </c>
      <c r="N26" s="34">
        <v>169.7</v>
      </c>
      <c r="O26" s="4">
        <f t="shared" si="25"/>
        <v>9.5181439619274055E-3</v>
      </c>
      <c r="P26" s="32">
        <v>188.7</v>
      </c>
      <c r="Q26" s="4">
        <f t="shared" si="1"/>
        <v>-1.9230769230769273E-2</v>
      </c>
      <c r="R26" s="32">
        <v>165.7</v>
      </c>
      <c r="S26" s="4">
        <f t="shared" si="2"/>
        <v>-4.1642567958357524E-2</v>
      </c>
      <c r="T26" s="32">
        <v>191.8</v>
      </c>
      <c r="U26" s="4">
        <f t="shared" si="3"/>
        <v>2.731655061596161E-2</v>
      </c>
      <c r="V26" s="32">
        <v>169.1</v>
      </c>
      <c r="W26" s="4">
        <f t="shared" si="4"/>
        <v>1.1363636363636465E-2</v>
      </c>
      <c r="X26" s="32">
        <v>121.6</v>
      </c>
      <c r="Y26" s="4">
        <f t="shared" si="5"/>
        <v>5.7899090157154109E-3</v>
      </c>
      <c r="Z26" s="32">
        <v>197.3</v>
      </c>
      <c r="AA26" s="4">
        <f t="shared" si="6"/>
        <v>1.9111570247933862E-2</v>
      </c>
      <c r="AB26" s="32">
        <v>169.4</v>
      </c>
      <c r="AC26" s="4">
        <f t="shared" si="7"/>
        <v>3.5545023696681444E-3</v>
      </c>
      <c r="AD26" s="32">
        <v>187.4</v>
      </c>
      <c r="AE26" s="4">
        <f t="shared" si="8"/>
        <v>5.9044551798175249E-3</v>
      </c>
      <c r="AF26" s="32">
        <v>177.8</v>
      </c>
      <c r="AG26" s="4">
        <f t="shared" si="9"/>
        <v>8.5082246171299669E-3</v>
      </c>
      <c r="AH26" s="32">
        <v>195.9</v>
      </c>
      <c r="AI26" s="4">
        <f t="shared" si="10"/>
        <v>4.6153846153846878E-3</v>
      </c>
      <c r="AJ26" s="32">
        <v>180.9</v>
      </c>
      <c r="AK26" s="4">
        <f t="shared" si="11"/>
        <v>7.7994428969359042E-3</v>
      </c>
      <c r="AL26" s="32">
        <v>174.3</v>
      </c>
      <c r="AM26" s="4">
        <f t="shared" si="12"/>
        <v>9.2646207295890015E-3</v>
      </c>
      <c r="AN26" s="32">
        <v>179.9</v>
      </c>
      <c r="AO26" s="4">
        <f t="shared" si="13"/>
        <v>7.8431372549019329E-3</v>
      </c>
      <c r="AP26" s="32">
        <v>169.5</v>
      </c>
      <c r="AQ26" s="4">
        <f t="shared" si="14"/>
        <v>2.9585798816567088E-3</v>
      </c>
      <c r="AR26" s="32">
        <v>179.5</v>
      </c>
      <c r="AS26" s="4">
        <f t="shared" si="15"/>
        <v>3.9149888143175104E-3</v>
      </c>
      <c r="AT26" s="32">
        <v>169.5</v>
      </c>
      <c r="AU26" s="4">
        <f t="shared" si="16"/>
        <v>5.9347181008901906E-3</v>
      </c>
      <c r="AV26" s="32">
        <v>177.8</v>
      </c>
      <c r="AW26" s="4">
        <f t="shared" si="17"/>
        <v>5.6561085972850478E-3</v>
      </c>
      <c r="AX26" s="32">
        <v>162.30000000000001</v>
      </c>
      <c r="AY26" s="4">
        <f t="shared" si="18"/>
        <v>2.4706609017912662E-3</v>
      </c>
      <c r="AZ26" s="32">
        <v>167.6</v>
      </c>
      <c r="BA26" s="4">
        <f t="shared" si="19"/>
        <v>4.1941282204911445E-3</v>
      </c>
      <c r="BB26" s="32">
        <v>173.1</v>
      </c>
      <c r="BC26" s="4">
        <f t="shared" si="20"/>
        <v>4.6430644225188278E-3</v>
      </c>
      <c r="BD26" s="32">
        <v>170.9</v>
      </c>
      <c r="BE26" s="4">
        <f t="shared" si="21"/>
        <v>-1.7523364485980686E-3</v>
      </c>
      <c r="BF26" s="32">
        <v>169.7</v>
      </c>
      <c r="BG26" s="4">
        <f t="shared" si="22"/>
        <v>3.548196333530429E-3</v>
      </c>
      <c r="BH26" s="32">
        <v>175.3</v>
      </c>
      <c r="BI26" s="4">
        <f t="shared" si="23"/>
        <v>5.7372346528972162E-3</v>
      </c>
    </row>
    <row r="27" spans="1:61">
      <c r="A27" t="s">
        <v>35</v>
      </c>
      <c r="B27">
        <v>2022</v>
      </c>
      <c r="C27" t="s">
        <v>50</v>
      </c>
      <c r="D27">
        <v>10</v>
      </c>
      <c r="E27" s="1">
        <v>44835</v>
      </c>
      <c r="F27">
        <v>227.63</v>
      </c>
      <c r="G27" s="32">
        <v>3.5499999999999997E-2</v>
      </c>
      <c r="H27" s="32">
        <v>165.2</v>
      </c>
      <c r="I27" s="4">
        <f t="shared" si="24"/>
        <v>1.039755351681948E-2</v>
      </c>
      <c r="J27" s="32">
        <v>210.9</v>
      </c>
      <c r="K27" s="4">
        <f t="shared" si="0"/>
        <v>8.1261950286808382E-3</v>
      </c>
      <c r="L27" s="34">
        <v>170.9</v>
      </c>
      <c r="M27" s="4">
        <f>(Analysis_5[[#This Row],[Egg]]/L26)-1</f>
        <v>7.0713022981734319E-3</v>
      </c>
      <c r="N27" s="34">
        <v>170.9</v>
      </c>
      <c r="O27" s="4">
        <f t="shared" si="25"/>
        <v>7.0713022981734319E-3</v>
      </c>
      <c r="P27" s="32">
        <v>186.5</v>
      </c>
      <c r="Q27" s="4">
        <f t="shared" si="1"/>
        <v>-1.1658717541070396E-2</v>
      </c>
      <c r="R27" s="32">
        <v>163.80000000000001</v>
      </c>
      <c r="S27" s="4">
        <f t="shared" si="2"/>
        <v>-1.1466505733252697E-2</v>
      </c>
      <c r="T27" s="32">
        <v>199.7</v>
      </c>
      <c r="U27" s="4">
        <f t="shared" si="3"/>
        <v>4.1188738269030134E-2</v>
      </c>
      <c r="V27" s="32">
        <v>169.8</v>
      </c>
      <c r="W27" s="4">
        <f t="shared" si="4"/>
        <v>4.1395623891189448E-3</v>
      </c>
      <c r="X27" s="32">
        <v>121.9</v>
      </c>
      <c r="Y27" s="4">
        <f t="shared" si="5"/>
        <v>2.4671052631579649E-3</v>
      </c>
      <c r="Z27" s="32">
        <v>199.9</v>
      </c>
      <c r="AA27" s="4">
        <f t="shared" si="6"/>
        <v>1.3177901672579706E-2</v>
      </c>
      <c r="AB27" s="32">
        <v>169.9</v>
      </c>
      <c r="AC27" s="4">
        <f t="shared" si="7"/>
        <v>2.9515938606847758E-3</v>
      </c>
      <c r="AD27" s="32">
        <v>188.3</v>
      </c>
      <c r="AE27" s="4">
        <f t="shared" si="8"/>
        <v>4.8025613660618305E-3</v>
      </c>
      <c r="AF27" s="32">
        <v>179.6</v>
      </c>
      <c r="AG27" s="4">
        <f t="shared" si="9"/>
        <v>1.0123734533183271E-2</v>
      </c>
      <c r="AH27" s="32">
        <v>196.3</v>
      </c>
      <c r="AI27" s="4">
        <f t="shared" si="10"/>
        <v>2.0418580908627693E-3</v>
      </c>
      <c r="AJ27" s="32">
        <v>181.9</v>
      </c>
      <c r="AK27" s="4">
        <f t="shared" si="11"/>
        <v>5.5279159756771445E-3</v>
      </c>
      <c r="AL27" s="32">
        <v>175.3</v>
      </c>
      <c r="AM27" s="4">
        <f t="shared" si="12"/>
        <v>5.7372346528972162E-3</v>
      </c>
      <c r="AN27" s="32">
        <v>181</v>
      </c>
      <c r="AO27" s="4">
        <f t="shared" si="13"/>
        <v>6.1145080600333301E-3</v>
      </c>
      <c r="AP27" s="32">
        <v>171.2</v>
      </c>
      <c r="AQ27" s="4">
        <f t="shared" si="14"/>
        <v>1.0029498525073732E-2</v>
      </c>
      <c r="AR27" s="32">
        <v>180.5</v>
      </c>
      <c r="AS27" s="4">
        <f t="shared" si="15"/>
        <v>5.5710306406684396E-3</v>
      </c>
      <c r="AT27" s="32">
        <v>170.4</v>
      </c>
      <c r="AU27" s="4">
        <f t="shared" si="16"/>
        <v>5.3097345132744334E-3</v>
      </c>
      <c r="AV27" s="32">
        <v>178.7</v>
      </c>
      <c r="AW27" s="4">
        <f t="shared" si="17"/>
        <v>5.0618672665916353E-3</v>
      </c>
      <c r="AX27" s="32">
        <v>162.9</v>
      </c>
      <c r="AY27" s="4">
        <f t="shared" si="18"/>
        <v>3.6968576709797141E-3</v>
      </c>
      <c r="AZ27" s="32">
        <v>168.2</v>
      </c>
      <c r="BA27" s="4">
        <f t="shared" si="19"/>
        <v>3.5799522673030104E-3</v>
      </c>
      <c r="BB27" s="32">
        <v>173.4</v>
      </c>
      <c r="BC27" s="4">
        <f t="shared" si="20"/>
        <v>1.7331022530329143E-3</v>
      </c>
      <c r="BD27" s="32">
        <v>172.1</v>
      </c>
      <c r="BE27" s="4">
        <f t="shared" si="21"/>
        <v>7.02165008777067E-3</v>
      </c>
      <c r="BF27" s="32">
        <v>170.5</v>
      </c>
      <c r="BG27" s="4">
        <f t="shared" si="22"/>
        <v>4.7142015321155473E-3</v>
      </c>
      <c r="BH27" s="32">
        <v>176.7</v>
      </c>
      <c r="BI27" s="4">
        <f t="shared" si="23"/>
        <v>7.986309184255358E-3</v>
      </c>
    </row>
    <row r="28" spans="1:61">
      <c r="A28" t="s">
        <v>35</v>
      </c>
      <c r="B28">
        <v>2022</v>
      </c>
      <c r="C28" t="s">
        <v>53</v>
      </c>
      <c r="D28">
        <v>11</v>
      </c>
      <c r="E28" s="1">
        <v>44866</v>
      </c>
      <c r="F28">
        <v>213.71</v>
      </c>
      <c r="G28" s="32">
        <v>-6.1199999999999997E-2</v>
      </c>
      <c r="H28" s="32">
        <v>167.4</v>
      </c>
      <c r="I28" s="4">
        <f t="shared" si="24"/>
        <v>1.3317191283293006E-2</v>
      </c>
      <c r="J28" s="32">
        <v>209.4</v>
      </c>
      <c r="K28" s="4">
        <f t="shared" si="0"/>
        <v>-7.1123755334281391E-3</v>
      </c>
      <c r="L28" s="34">
        <v>181.4</v>
      </c>
      <c r="M28" s="4">
        <f>(Analysis_5[[#This Row],[Egg]]/L27)-1</f>
        <v>6.143943826799303E-2</v>
      </c>
      <c r="N28" s="34">
        <v>172.3</v>
      </c>
      <c r="O28" s="4">
        <f t="shared" si="25"/>
        <v>8.191925102399189E-3</v>
      </c>
      <c r="P28" s="32">
        <v>188.9</v>
      </c>
      <c r="Q28" s="4">
        <f t="shared" si="1"/>
        <v>1.2868632707774719E-2</v>
      </c>
      <c r="R28" s="32">
        <v>160.69999999999999</v>
      </c>
      <c r="S28" s="4">
        <f t="shared" si="2"/>
        <v>-1.892551892551908E-2</v>
      </c>
      <c r="T28" s="32">
        <v>183.1</v>
      </c>
      <c r="U28" s="4">
        <f t="shared" si="3"/>
        <v>-8.3124687030545763E-2</v>
      </c>
      <c r="V28" s="32">
        <v>170.5</v>
      </c>
      <c r="W28" s="4">
        <f t="shared" si="4"/>
        <v>4.1224970553592755E-3</v>
      </c>
      <c r="X28" s="32">
        <v>122.1</v>
      </c>
      <c r="Y28" s="4">
        <f t="shared" si="5"/>
        <v>1.6406890894173909E-3</v>
      </c>
      <c r="Z28" s="32">
        <v>202.8</v>
      </c>
      <c r="AA28" s="4">
        <f t="shared" si="6"/>
        <v>1.4507253626813377E-2</v>
      </c>
      <c r="AB28" s="32">
        <v>170.4</v>
      </c>
      <c r="AC28" s="4">
        <f t="shared" si="7"/>
        <v>2.9429075927016601E-3</v>
      </c>
      <c r="AD28" s="32">
        <v>189.5</v>
      </c>
      <c r="AE28" s="4">
        <f t="shared" si="8"/>
        <v>6.3728093467869673E-3</v>
      </c>
      <c r="AF28" s="32">
        <v>178.3</v>
      </c>
      <c r="AG28" s="4">
        <f t="shared" si="9"/>
        <v>-7.2383073496657957E-3</v>
      </c>
      <c r="AH28" s="32">
        <v>196.9</v>
      </c>
      <c r="AI28" s="4">
        <f t="shared" si="10"/>
        <v>3.0565461029037344E-3</v>
      </c>
      <c r="AJ28" s="32">
        <v>183.1</v>
      </c>
      <c r="AK28" s="4">
        <f t="shared" si="11"/>
        <v>6.5970313358987287E-3</v>
      </c>
      <c r="AL28" s="32">
        <v>176.2</v>
      </c>
      <c r="AM28" s="4">
        <f t="shared" si="12"/>
        <v>5.1340559041641587E-3</v>
      </c>
      <c r="AN28" s="32">
        <v>182.1</v>
      </c>
      <c r="AO28" s="4">
        <f t="shared" si="13"/>
        <v>6.0773480662983381E-3</v>
      </c>
      <c r="AP28" s="32">
        <v>171.8</v>
      </c>
      <c r="AQ28" s="4">
        <f t="shared" si="14"/>
        <v>3.5046728971963592E-3</v>
      </c>
      <c r="AR28" s="32">
        <v>181.3</v>
      </c>
      <c r="AS28" s="4">
        <f t="shared" si="15"/>
        <v>4.4321329639889218E-3</v>
      </c>
      <c r="AT28" s="32">
        <v>171.4</v>
      </c>
      <c r="AU28" s="4">
        <f t="shared" si="16"/>
        <v>5.8685446009389963E-3</v>
      </c>
      <c r="AV28" s="32">
        <v>179.8</v>
      </c>
      <c r="AW28" s="4">
        <f t="shared" si="17"/>
        <v>6.1555679910465511E-3</v>
      </c>
      <c r="AX28" s="32">
        <v>163</v>
      </c>
      <c r="AY28" s="4">
        <f t="shared" si="18"/>
        <v>6.1387354205022504E-4</v>
      </c>
      <c r="AZ28" s="32">
        <v>168.5</v>
      </c>
      <c r="BA28" s="4">
        <f t="shared" si="19"/>
        <v>1.7835909631391811E-3</v>
      </c>
      <c r="BB28" s="32">
        <v>173.7</v>
      </c>
      <c r="BC28" s="4">
        <f t="shared" si="20"/>
        <v>1.7301038062282892E-3</v>
      </c>
      <c r="BD28" s="32">
        <v>173.6</v>
      </c>
      <c r="BE28" s="4">
        <f t="shared" si="21"/>
        <v>8.7158628704242513E-3</v>
      </c>
      <c r="BF28" s="32">
        <v>171.1</v>
      </c>
      <c r="BG28" s="4">
        <f t="shared" si="22"/>
        <v>3.5190615835776207E-3</v>
      </c>
      <c r="BH28" s="32">
        <v>176.5</v>
      </c>
      <c r="BI28" s="4">
        <f t="shared" si="23"/>
        <v>-1.1318619128465324E-3</v>
      </c>
    </row>
    <row r="29" spans="1:61">
      <c r="A29" t="s">
        <v>35</v>
      </c>
      <c r="B29">
        <v>2022</v>
      </c>
      <c r="C29" t="s">
        <v>55</v>
      </c>
      <c r="D29">
        <v>12</v>
      </c>
      <c r="E29" s="1">
        <v>44896</v>
      </c>
      <c r="F29">
        <v>189.3</v>
      </c>
      <c r="G29" s="32">
        <v>-0.1142</v>
      </c>
      <c r="H29" s="32">
        <v>169.2</v>
      </c>
      <c r="I29" s="4">
        <f t="shared" si="24"/>
        <v>1.0752688172043001E-2</v>
      </c>
      <c r="J29" s="32">
        <v>209</v>
      </c>
      <c r="K29" s="4">
        <f t="shared" si="0"/>
        <v>-1.9102196752627254E-3</v>
      </c>
      <c r="L29" s="34">
        <v>190.2</v>
      </c>
      <c r="M29" s="4">
        <f>(Analysis_5[[#This Row],[Egg]]/L28)-1</f>
        <v>4.8511576626240283E-2</v>
      </c>
      <c r="N29" s="34">
        <v>173.6</v>
      </c>
      <c r="O29" s="4">
        <f t="shared" si="25"/>
        <v>7.5449796865929564E-3</v>
      </c>
      <c r="P29" s="32">
        <v>188.5</v>
      </c>
      <c r="Q29" s="4">
        <f t="shared" si="1"/>
        <v>-2.1175224986765828E-3</v>
      </c>
      <c r="R29" s="32">
        <v>158</v>
      </c>
      <c r="S29" s="4">
        <f t="shared" si="2"/>
        <v>-1.6801493466085837E-2</v>
      </c>
      <c r="T29" s="32">
        <v>159.9</v>
      </c>
      <c r="U29" s="4">
        <f t="shared" si="3"/>
        <v>-0.12670671764063346</v>
      </c>
      <c r="V29" s="32">
        <v>170.8</v>
      </c>
      <c r="W29" s="4">
        <f t="shared" si="4"/>
        <v>1.7595307917890324E-3</v>
      </c>
      <c r="X29" s="32">
        <v>121.8</v>
      </c>
      <c r="Y29" s="4">
        <f t="shared" si="5"/>
        <v>-2.4570024570024218E-3</v>
      </c>
      <c r="Z29" s="32">
        <v>205.2</v>
      </c>
      <c r="AA29" s="4">
        <f t="shared" si="6"/>
        <v>1.1834319526627057E-2</v>
      </c>
      <c r="AB29" s="32">
        <v>171</v>
      </c>
      <c r="AC29" s="4">
        <f t="shared" si="7"/>
        <v>3.5211267605632646E-3</v>
      </c>
      <c r="AD29" s="32">
        <v>190.3</v>
      </c>
      <c r="AE29" s="4">
        <f t="shared" si="8"/>
        <v>4.2216358839051171E-3</v>
      </c>
      <c r="AF29" s="32">
        <v>175.9</v>
      </c>
      <c r="AG29" s="4">
        <f t="shared" si="9"/>
        <v>-1.346045989904654E-2</v>
      </c>
      <c r="AH29" s="32">
        <v>197.3</v>
      </c>
      <c r="AI29" s="4">
        <f t="shared" si="10"/>
        <v>2.0314880650076361E-3</v>
      </c>
      <c r="AJ29" s="32">
        <v>184</v>
      </c>
      <c r="AK29" s="4">
        <f t="shared" si="11"/>
        <v>4.9153468050247007E-3</v>
      </c>
      <c r="AL29" s="32">
        <v>177</v>
      </c>
      <c r="AM29" s="4">
        <f t="shared" si="12"/>
        <v>4.5402951191828578E-3</v>
      </c>
      <c r="AN29" s="32">
        <v>183</v>
      </c>
      <c r="AO29" s="4">
        <f t="shared" si="13"/>
        <v>4.9423393739704835E-3</v>
      </c>
      <c r="AP29" s="32">
        <v>170.7</v>
      </c>
      <c r="AQ29" s="4">
        <f t="shared" si="14"/>
        <v>-6.4027939464494921E-3</v>
      </c>
      <c r="AR29" s="32">
        <v>182</v>
      </c>
      <c r="AS29" s="4">
        <f t="shared" si="15"/>
        <v>3.8610038610038533E-3</v>
      </c>
      <c r="AT29" s="32">
        <v>172.1</v>
      </c>
      <c r="AU29" s="4">
        <f t="shared" si="16"/>
        <v>4.0840140023337135E-3</v>
      </c>
      <c r="AV29" s="32">
        <v>181.1</v>
      </c>
      <c r="AW29" s="4">
        <f t="shared" si="17"/>
        <v>7.2302558398218419E-3</v>
      </c>
      <c r="AX29" s="32">
        <v>163.4</v>
      </c>
      <c r="AY29" s="4">
        <f t="shared" si="18"/>
        <v>2.4539877300613355E-3</v>
      </c>
      <c r="AZ29" s="32">
        <v>168.9</v>
      </c>
      <c r="BA29" s="4">
        <f t="shared" si="19"/>
        <v>2.3738872403560318E-3</v>
      </c>
      <c r="BB29" s="32">
        <v>174.1</v>
      </c>
      <c r="BC29" s="4">
        <f t="shared" si="20"/>
        <v>2.3028209556708035E-3</v>
      </c>
      <c r="BD29" s="32">
        <v>175.8</v>
      </c>
      <c r="BE29" s="4">
        <f t="shared" si="21"/>
        <v>1.2672811059907918E-2</v>
      </c>
      <c r="BF29" s="32">
        <v>172</v>
      </c>
      <c r="BG29" s="4">
        <f t="shared" si="22"/>
        <v>5.260081823495133E-3</v>
      </c>
      <c r="BH29" s="32">
        <v>175.7</v>
      </c>
      <c r="BI29" s="4">
        <f t="shared" si="23"/>
        <v>-4.5325779036827774E-3</v>
      </c>
    </row>
    <row r="30" spans="1:61">
      <c r="A30" t="s">
        <v>35</v>
      </c>
      <c r="B30">
        <v>2023</v>
      </c>
      <c r="C30" t="s">
        <v>31</v>
      </c>
      <c r="D30">
        <v>1</v>
      </c>
      <c r="E30" s="1">
        <v>44927</v>
      </c>
      <c r="F30">
        <v>193.77</v>
      </c>
      <c r="G30" s="32">
        <v>2.3599999999999999E-2</v>
      </c>
      <c r="H30" s="32">
        <v>173.8</v>
      </c>
      <c r="I30" s="4">
        <f t="shared" si="24"/>
        <v>2.7186761229314627E-2</v>
      </c>
      <c r="J30" s="32">
        <v>210.7</v>
      </c>
      <c r="K30" s="4">
        <f t="shared" si="0"/>
        <v>8.1339712918659934E-3</v>
      </c>
      <c r="L30" s="34">
        <v>194.5</v>
      </c>
      <c r="M30" s="4">
        <f>(Analysis_5[[#This Row],[Egg]]/L29)-1</f>
        <v>2.2607781282860229E-2</v>
      </c>
      <c r="N30" s="34">
        <v>174.6</v>
      </c>
      <c r="O30" s="4">
        <f t="shared" si="25"/>
        <v>5.7603686635945284E-3</v>
      </c>
      <c r="P30" s="32">
        <v>187.2</v>
      </c>
      <c r="Q30" s="4">
        <f t="shared" si="1"/>
        <v>-6.8965517241379448E-3</v>
      </c>
      <c r="R30" s="32">
        <v>158.30000000000001</v>
      </c>
      <c r="S30" s="4">
        <f t="shared" si="2"/>
        <v>1.8987341772152E-3</v>
      </c>
      <c r="T30" s="32">
        <v>153.9</v>
      </c>
      <c r="U30" s="4">
        <f t="shared" si="3"/>
        <v>-3.7523452157598447E-2</v>
      </c>
      <c r="V30" s="32">
        <v>170.9</v>
      </c>
      <c r="W30" s="4">
        <f t="shared" si="4"/>
        <v>5.8548009367687115E-4</v>
      </c>
      <c r="X30" s="32">
        <v>121.1</v>
      </c>
      <c r="Y30" s="4">
        <f t="shared" si="5"/>
        <v>-5.7471264367816577E-3</v>
      </c>
      <c r="Z30" s="32">
        <v>208.4</v>
      </c>
      <c r="AA30" s="4">
        <f t="shared" si="6"/>
        <v>1.5594541910331383E-2</v>
      </c>
      <c r="AB30" s="32">
        <v>171.4</v>
      </c>
      <c r="AC30" s="4">
        <f t="shared" si="7"/>
        <v>2.3391812865496409E-3</v>
      </c>
      <c r="AD30" s="32">
        <v>191.2</v>
      </c>
      <c r="AE30" s="4">
        <f t="shared" si="8"/>
        <v>4.7293746715710849E-3</v>
      </c>
      <c r="AF30" s="32">
        <v>176.7</v>
      </c>
      <c r="AG30" s="4">
        <f t="shared" si="9"/>
        <v>4.5480386583285348E-3</v>
      </c>
      <c r="AH30" s="32">
        <v>198.2</v>
      </c>
      <c r="AI30" s="4">
        <f t="shared" si="10"/>
        <v>4.5615813482005052E-3</v>
      </c>
      <c r="AJ30" s="32">
        <v>184.9</v>
      </c>
      <c r="AK30" s="4">
        <f t="shared" si="11"/>
        <v>4.891304347826031E-3</v>
      </c>
      <c r="AL30" s="32">
        <v>177.6</v>
      </c>
      <c r="AM30" s="4">
        <f t="shared" si="12"/>
        <v>3.3898305084745228E-3</v>
      </c>
      <c r="AN30" s="32">
        <v>183.8</v>
      </c>
      <c r="AO30" s="4">
        <f t="shared" si="13"/>
        <v>4.3715846994536456E-3</v>
      </c>
      <c r="AP30" s="32">
        <v>172.1</v>
      </c>
      <c r="AQ30" s="4">
        <f t="shared" si="14"/>
        <v>8.2015231400116573E-3</v>
      </c>
      <c r="AR30" s="32">
        <v>182</v>
      </c>
      <c r="AS30" s="4">
        <f t="shared" si="15"/>
        <v>0</v>
      </c>
      <c r="AT30" s="32">
        <v>172.9</v>
      </c>
      <c r="AU30" s="4">
        <f t="shared" si="16"/>
        <v>4.6484601975596007E-3</v>
      </c>
      <c r="AV30" s="32">
        <v>182.3</v>
      </c>
      <c r="AW30" s="4">
        <f t="shared" si="17"/>
        <v>6.6261733848702598E-3</v>
      </c>
      <c r="AX30" s="32">
        <v>163.6</v>
      </c>
      <c r="AY30" s="4">
        <f t="shared" si="18"/>
        <v>1.2239902080781739E-3</v>
      </c>
      <c r="AZ30" s="32">
        <v>169.5</v>
      </c>
      <c r="BA30" s="4">
        <f t="shared" si="19"/>
        <v>3.5523978685612079E-3</v>
      </c>
      <c r="BB30" s="32">
        <v>174.3</v>
      </c>
      <c r="BC30" s="4">
        <f t="shared" si="20"/>
        <v>1.1487650775416913E-3</v>
      </c>
      <c r="BD30" s="32">
        <v>178.6</v>
      </c>
      <c r="BE30" s="4">
        <f t="shared" si="21"/>
        <v>1.5927189988623303E-2</v>
      </c>
      <c r="BF30" s="32">
        <v>172.8</v>
      </c>
      <c r="BG30" s="4">
        <f t="shared" si="22"/>
        <v>4.6511627906977715E-3</v>
      </c>
      <c r="BH30" s="32">
        <v>176.5</v>
      </c>
      <c r="BI30" s="4">
        <f t="shared" si="23"/>
        <v>4.5532157085943492E-3</v>
      </c>
    </row>
    <row r="31" spans="1:61">
      <c r="A31" t="s">
        <v>35</v>
      </c>
      <c r="B31">
        <v>2023</v>
      </c>
      <c r="C31" t="s">
        <v>36</v>
      </c>
      <c r="D31">
        <v>2</v>
      </c>
      <c r="E31" s="1">
        <v>44958</v>
      </c>
      <c r="F31">
        <v>193.61</v>
      </c>
      <c r="G31" s="32">
        <v>-8.0000000000000004E-4</v>
      </c>
      <c r="H31" s="32">
        <v>174.4</v>
      </c>
      <c r="I31" s="4">
        <f t="shared" si="24"/>
        <v>3.4522439585731313E-3</v>
      </c>
      <c r="J31" s="32">
        <v>207.7</v>
      </c>
      <c r="K31" s="4">
        <f t="shared" si="0"/>
        <v>-1.423825344091123E-2</v>
      </c>
      <c r="L31" s="34">
        <v>175.2</v>
      </c>
      <c r="M31" s="4">
        <f>(Analysis_5[[#This Row],[Egg]]/L30)-1</f>
        <v>-9.9228791773778968E-2</v>
      </c>
      <c r="N31" s="34">
        <v>177.3</v>
      </c>
      <c r="O31" s="4">
        <f t="shared" si="25"/>
        <v>1.5463917525773363E-2</v>
      </c>
      <c r="P31" s="32">
        <v>179.3</v>
      </c>
      <c r="Q31" s="4">
        <f t="shared" si="1"/>
        <v>-4.2200854700854551E-2</v>
      </c>
      <c r="R31" s="32">
        <v>169.5</v>
      </c>
      <c r="S31" s="4">
        <f t="shared" si="2"/>
        <v>7.0751737207833232E-2</v>
      </c>
      <c r="T31" s="32">
        <v>152.69999999999999</v>
      </c>
      <c r="U31" s="4">
        <f t="shared" si="3"/>
        <v>-7.7972709551658026E-3</v>
      </c>
      <c r="V31" s="32">
        <v>171</v>
      </c>
      <c r="W31" s="4">
        <f t="shared" si="4"/>
        <v>5.8513750731425951E-4</v>
      </c>
      <c r="X31" s="32">
        <v>120</v>
      </c>
      <c r="Y31" s="4">
        <f t="shared" si="5"/>
        <v>-9.0834021469858861E-3</v>
      </c>
      <c r="Z31" s="32">
        <v>209.7</v>
      </c>
      <c r="AA31" s="4">
        <f t="shared" si="6"/>
        <v>6.2380038387714887E-3</v>
      </c>
      <c r="AB31" s="32">
        <v>172.3</v>
      </c>
      <c r="AC31" s="4">
        <f t="shared" si="7"/>
        <v>5.2508751458577585E-3</v>
      </c>
      <c r="AD31" s="32">
        <v>193</v>
      </c>
      <c r="AE31" s="4">
        <f t="shared" si="8"/>
        <v>9.4142259414227158E-3</v>
      </c>
      <c r="AF31" s="32">
        <v>177</v>
      </c>
      <c r="AG31" s="4">
        <f t="shared" si="9"/>
        <v>1.6977928692700761E-3</v>
      </c>
      <c r="AH31" s="32">
        <v>199.5</v>
      </c>
      <c r="AI31" s="4">
        <f t="shared" si="10"/>
        <v>6.5590312815337892E-3</v>
      </c>
      <c r="AJ31" s="32">
        <v>186.2</v>
      </c>
      <c r="AK31" s="4">
        <f t="shared" si="11"/>
        <v>7.030827474310275E-3</v>
      </c>
      <c r="AL31" s="32">
        <v>178.7</v>
      </c>
      <c r="AM31" s="4">
        <f t="shared" si="12"/>
        <v>6.1936936936937137E-3</v>
      </c>
      <c r="AN31" s="32">
        <v>185.1</v>
      </c>
      <c r="AO31" s="4">
        <f t="shared" si="13"/>
        <v>7.0729053318823176E-3</v>
      </c>
      <c r="AP31" s="32">
        <v>173.5</v>
      </c>
      <c r="AQ31" s="4">
        <f t="shared" si="14"/>
        <v>8.1348053457293013E-3</v>
      </c>
      <c r="AR31" s="32">
        <v>182.1</v>
      </c>
      <c r="AS31" s="4">
        <f t="shared" si="15"/>
        <v>5.494505494505475E-4</v>
      </c>
      <c r="AT31" s="32">
        <v>174.2</v>
      </c>
      <c r="AU31" s="4">
        <f t="shared" si="16"/>
        <v>7.5187969924810361E-3</v>
      </c>
      <c r="AV31" s="32">
        <v>184.4</v>
      </c>
      <c r="AW31" s="4">
        <f t="shared" si="17"/>
        <v>1.1519473395501967E-2</v>
      </c>
      <c r="AX31" s="32">
        <v>164.2</v>
      </c>
      <c r="AY31" s="4">
        <f t="shared" si="18"/>
        <v>3.6674816625916762E-3</v>
      </c>
      <c r="AZ31" s="32">
        <v>170.3</v>
      </c>
      <c r="BA31" s="4">
        <f t="shared" si="19"/>
        <v>4.719764011799521E-3</v>
      </c>
      <c r="BB31" s="32">
        <v>175</v>
      </c>
      <c r="BC31" s="4">
        <f t="shared" si="20"/>
        <v>4.0160642570279403E-3</v>
      </c>
      <c r="BD31" s="32">
        <v>181</v>
      </c>
      <c r="BE31" s="4">
        <f t="shared" si="21"/>
        <v>1.3437849944009095E-2</v>
      </c>
      <c r="BF31" s="32">
        <v>174.1</v>
      </c>
      <c r="BG31" s="4">
        <f t="shared" si="22"/>
        <v>7.5231481481481399E-3</v>
      </c>
      <c r="BH31" s="32">
        <v>177.2</v>
      </c>
      <c r="BI31" s="4">
        <f t="shared" si="23"/>
        <v>3.9660056657222498E-3</v>
      </c>
    </row>
    <row r="32" spans="1:61">
      <c r="A32" t="s">
        <v>35</v>
      </c>
      <c r="B32">
        <v>2023</v>
      </c>
      <c r="C32" t="s">
        <v>38</v>
      </c>
      <c r="D32">
        <v>3</v>
      </c>
      <c r="E32" s="1">
        <v>44986</v>
      </c>
      <c r="F32">
        <v>185.09</v>
      </c>
      <c r="G32" s="32">
        <v>-4.3999999999999997E-2</v>
      </c>
      <c r="H32" s="32">
        <v>174.4</v>
      </c>
      <c r="I32" s="4">
        <f t="shared" si="24"/>
        <v>0</v>
      </c>
      <c r="J32" s="32">
        <v>207.7</v>
      </c>
      <c r="K32" s="4">
        <f t="shared" si="0"/>
        <v>0</v>
      </c>
      <c r="L32" s="34">
        <v>175.2</v>
      </c>
      <c r="M32" s="4">
        <f>(Analysis_5[[#This Row],[Egg]]/L31)-1</f>
        <v>0</v>
      </c>
      <c r="N32" s="34">
        <v>177.3</v>
      </c>
      <c r="O32" s="4">
        <f t="shared" si="25"/>
        <v>0</v>
      </c>
      <c r="P32" s="32">
        <v>179.2</v>
      </c>
      <c r="Q32" s="4">
        <f t="shared" si="1"/>
        <v>-5.5772448410496001E-4</v>
      </c>
      <c r="R32" s="32">
        <v>169.5</v>
      </c>
      <c r="S32" s="4">
        <f t="shared" si="2"/>
        <v>0</v>
      </c>
      <c r="T32" s="32">
        <v>152.80000000000001</v>
      </c>
      <c r="U32" s="4">
        <f t="shared" si="3"/>
        <v>6.548788474134426E-4</v>
      </c>
      <c r="V32" s="32">
        <v>171.1</v>
      </c>
      <c r="W32" s="4">
        <f t="shared" si="4"/>
        <v>5.847953216373547E-4</v>
      </c>
      <c r="X32" s="32">
        <v>120</v>
      </c>
      <c r="Y32" s="4">
        <f t="shared" si="5"/>
        <v>0</v>
      </c>
      <c r="Z32" s="32">
        <v>209.7</v>
      </c>
      <c r="AA32" s="4">
        <f t="shared" si="6"/>
        <v>0</v>
      </c>
      <c r="AB32" s="32">
        <v>172.3</v>
      </c>
      <c r="AC32" s="4">
        <f t="shared" si="7"/>
        <v>0</v>
      </c>
      <c r="AD32" s="32">
        <v>193</v>
      </c>
      <c r="AE32" s="4">
        <f t="shared" si="8"/>
        <v>0</v>
      </c>
      <c r="AF32" s="32">
        <v>177</v>
      </c>
      <c r="AG32" s="4">
        <f t="shared" si="9"/>
        <v>0</v>
      </c>
      <c r="AH32" s="32">
        <v>199.5</v>
      </c>
      <c r="AI32" s="4">
        <f t="shared" si="10"/>
        <v>0</v>
      </c>
      <c r="AJ32" s="32">
        <v>186.1</v>
      </c>
      <c r="AK32" s="4">
        <f t="shared" si="11"/>
        <v>-5.3705692803429628E-4</v>
      </c>
      <c r="AL32" s="32">
        <v>178.7</v>
      </c>
      <c r="AM32" s="4">
        <f t="shared" si="12"/>
        <v>0</v>
      </c>
      <c r="AN32" s="32">
        <v>185.1</v>
      </c>
      <c r="AO32" s="4">
        <f t="shared" si="13"/>
        <v>0</v>
      </c>
      <c r="AP32" s="32">
        <v>173.5</v>
      </c>
      <c r="AQ32" s="4">
        <f t="shared" si="14"/>
        <v>0</v>
      </c>
      <c r="AR32" s="32">
        <v>181.9</v>
      </c>
      <c r="AS32" s="4">
        <f t="shared" si="15"/>
        <v>-1.0982976386599841E-3</v>
      </c>
      <c r="AT32" s="32">
        <v>174.2</v>
      </c>
      <c r="AU32" s="4">
        <f t="shared" si="16"/>
        <v>0</v>
      </c>
      <c r="AV32" s="32">
        <v>184.4</v>
      </c>
      <c r="AW32" s="4">
        <f t="shared" si="17"/>
        <v>0</v>
      </c>
      <c r="AX32" s="32">
        <v>164.2</v>
      </c>
      <c r="AY32" s="4">
        <f t="shared" si="18"/>
        <v>0</v>
      </c>
      <c r="AZ32" s="32">
        <v>170.3</v>
      </c>
      <c r="BA32" s="4">
        <f t="shared" si="19"/>
        <v>0</v>
      </c>
      <c r="BB32" s="32">
        <v>175</v>
      </c>
      <c r="BC32" s="4">
        <f t="shared" si="20"/>
        <v>0</v>
      </c>
      <c r="BD32" s="32">
        <v>181</v>
      </c>
      <c r="BE32" s="4">
        <f t="shared" si="21"/>
        <v>0</v>
      </c>
      <c r="BF32" s="32">
        <v>174.1</v>
      </c>
      <c r="BG32" s="4">
        <f t="shared" si="22"/>
        <v>0</v>
      </c>
      <c r="BH32" s="32">
        <v>177.2</v>
      </c>
      <c r="BI32" s="4">
        <f t="shared" si="23"/>
        <v>0</v>
      </c>
    </row>
    <row r="33" spans="1:61">
      <c r="A33" t="s">
        <v>35</v>
      </c>
      <c r="B33">
        <v>2023</v>
      </c>
      <c r="C33" t="s">
        <v>39</v>
      </c>
      <c r="D33">
        <v>4</v>
      </c>
      <c r="E33" s="1">
        <v>45017</v>
      </c>
      <c r="F33">
        <v>195.46</v>
      </c>
      <c r="G33" s="32">
        <v>5.6000000000000001E-2</v>
      </c>
      <c r="H33" s="32">
        <v>173.8</v>
      </c>
      <c r="I33" s="4">
        <f t="shared" si="24"/>
        <v>-3.4403669724770714E-3</v>
      </c>
      <c r="J33" s="32">
        <v>209.3</v>
      </c>
      <c r="K33" s="4">
        <f t="shared" si="0"/>
        <v>7.7034183919115762E-3</v>
      </c>
      <c r="L33" s="34">
        <v>169.6</v>
      </c>
      <c r="M33" s="4">
        <f>(Analysis_5[[#This Row],[Egg]]/L32)-1</f>
        <v>-3.1963470319634646E-2</v>
      </c>
      <c r="N33" s="34">
        <v>178.4</v>
      </c>
      <c r="O33" s="4">
        <f t="shared" si="25"/>
        <v>6.2041737168641031E-3</v>
      </c>
      <c r="P33" s="32">
        <v>174.9</v>
      </c>
      <c r="Q33" s="4">
        <f t="shared" si="1"/>
        <v>-2.3995535714285587E-2</v>
      </c>
      <c r="R33" s="32">
        <v>176.3</v>
      </c>
      <c r="S33" s="4">
        <f t="shared" si="2"/>
        <v>4.0117994100295151E-2</v>
      </c>
      <c r="T33" s="32">
        <v>155.4</v>
      </c>
      <c r="U33" s="4">
        <f t="shared" si="3"/>
        <v>1.7015706806282616E-2</v>
      </c>
      <c r="V33" s="32">
        <v>173.4</v>
      </c>
      <c r="W33" s="4">
        <f t="shared" si="4"/>
        <v>1.3442431326709636E-2</v>
      </c>
      <c r="X33" s="32">
        <v>121.3</v>
      </c>
      <c r="Y33" s="4">
        <f t="shared" si="5"/>
        <v>1.083333333333325E-2</v>
      </c>
      <c r="Z33" s="32">
        <v>212.9</v>
      </c>
      <c r="AA33" s="4">
        <f t="shared" si="6"/>
        <v>1.5259895088221453E-2</v>
      </c>
      <c r="AB33" s="32">
        <v>172.9</v>
      </c>
      <c r="AC33" s="4">
        <f t="shared" si="7"/>
        <v>3.4822983168891763E-3</v>
      </c>
      <c r="AD33" s="32">
        <v>193.5</v>
      </c>
      <c r="AE33" s="4">
        <f t="shared" si="8"/>
        <v>2.5906735751295429E-3</v>
      </c>
      <c r="AF33" s="32">
        <v>177.9</v>
      </c>
      <c r="AG33" s="4">
        <f t="shared" si="9"/>
        <v>5.0847457627118953E-3</v>
      </c>
      <c r="AH33" s="32">
        <v>200.6</v>
      </c>
      <c r="AI33" s="4">
        <f t="shared" si="10"/>
        <v>5.5137844611528042E-3</v>
      </c>
      <c r="AJ33" s="32">
        <v>186.9</v>
      </c>
      <c r="AK33" s="4">
        <f t="shared" si="11"/>
        <v>4.2987641053198189E-3</v>
      </c>
      <c r="AL33" s="32">
        <v>179.2</v>
      </c>
      <c r="AM33" s="4">
        <f t="shared" si="12"/>
        <v>2.7979854504756041E-3</v>
      </c>
      <c r="AN33" s="32">
        <v>185.7</v>
      </c>
      <c r="AO33" s="4">
        <f t="shared" si="13"/>
        <v>3.2414910858995505E-3</v>
      </c>
      <c r="AP33" s="32">
        <v>175.2</v>
      </c>
      <c r="AQ33" s="4">
        <f t="shared" si="14"/>
        <v>9.7982708933717078E-3</v>
      </c>
      <c r="AR33" s="32">
        <v>181.7</v>
      </c>
      <c r="AS33" s="4">
        <f t="shared" si="15"/>
        <v>-1.0995052226498991E-3</v>
      </c>
      <c r="AT33" s="32">
        <v>174.6</v>
      </c>
      <c r="AU33" s="4">
        <f t="shared" si="16"/>
        <v>2.2962112514350874E-3</v>
      </c>
      <c r="AV33" s="32">
        <v>185</v>
      </c>
      <c r="AW33" s="4">
        <f t="shared" si="17"/>
        <v>3.2537960954446277E-3</v>
      </c>
      <c r="AX33" s="32">
        <v>164.5</v>
      </c>
      <c r="AY33" s="4">
        <f t="shared" si="18"/>
        <v>1.8270401948843329E-3</v>
      </c>
      <c r="AZ33" s="32">
        <v>170.7</v>
      </c>
      <c r="BA33" s="4">
        <f t="shared" si="19"/>
        <v>2.3487962419259656E-3</v>
      </c>
      <c r="BB33" s="32">
        <v>176.4</v>
      </c>
      <c r="BC33" s="4">
        <f t="shared" si="20"/>
        <v>8.0000000000000071E-3</v>
      </c>
      <c r="BD33" s="32">
        <v>184</v>
      </c>
      <c r="BE33" s="4">
        <f t="shared" si="21"/>
        <v>1.6574585635359185E-2</v>
      </c>
      <c r="BF33" s="32">
        <v>175</v>
      </c>
      <c r="BG33" s="4">
        <f t="shared" si="22"/>
        <v>5.1694428489374999E-3</v>
      </c>
      <c r="BH33" s="32">
        <v>178.1</v>
      </c>
      <c r="BI33" s="4">
        <f t="shared" si="23"/>
        <v>5.0790067720090093E-3</v>
      </c>
    </row>
    <row r="34" spans="1:61">
      <c r="A34" t="s">
        <v>35</v>
      </c>
      <c r="B34">
        <v>2023</v>
      </c>
      <c r="C34" t="s">
        <v>41</v>
      </c>
      <c r="D34">
        <v>5</v>
      </c>
      <c r="E34" s="1">
        <v>45047</v>
      </c>
      <c r="F34">
        <v>177.5</v>
      </c>
      <c r="G34" s="32">
        <v>-9.1899999999999996E-2</v>
      </c>
      <c r="H34" s="32">
        <v>173.7</v>
      </c>
      <c r="I34" s="4">
        <f t="shared" si="24"/>
        <v>-5.7537399309559589E-4</v>
      </c>
      <c r="J34" s="32">
        <v>214.3</v>
      </c>
      <c r="K34" s="4">
        <f t="shared" si="0"/>
        <v>2.3889154323937012E-2</v>
      </c>
      <c r="L34" s="34">
        <v>173.2</v>
      </c>
      <c r="M34" s="4">
        <f>(Analysis_5[[#This Row],[Egg]]/L33)-1</f>
        <v>2.1226415094339535E-2</v>
      </c>
      <c r="N34" s="34">
        <v>179.5</v>
      </c>
      <c r="O34" s="4">
        <f t="shared" si="25"/>
        <v>6.1659192825112008E-3</v>
      </c>
      <c r="P34" s="32">
        <v>170</v>
      </c>
      <c r="Q34" s="4">
        <f t="shared" si="1"/>
        <v>-2.8016009148084664E-2</v>
      </c>
      <c r="R34" s="32">
        <v>172.2</v>
      </c>
      <c r="S34" s="4">
        <f t="shared" si="2"/>
        <v>-2.3255813953488524E-2</v>
      </c>
      <c r="T34" s="32">
        <v>161</v>
      </c>
      <c r="U34" s="4">
        <f t="shared" si="3"/>
        <v>3.603603603603589E-2</v>
      </c>
      <c r="V34" s="32">
        <v>175.6</v>
      </c>
      <c r="W34" s="4">
        <f t="shared" si="4"/>
        <v>1.2687427912341231E-2</v>
      </c>
      <c r="X34" s="32">
        <v>122.7</v>
      </c>
      <c r="Y34" s="4">
        <f t="shared" si="5"/>
        <v>1.154163231657046E-2</v>
      </c>
      <c r="Z34" s="32">
        <v>218</v>
      </c>
      <c r="AA34" s="4">
        <f t="shared" si="6"/>
        <v>2.395490840770309E-2</v>
      </c>
      <c r="AB34" s="32">
        <v>173.4</v>
      </c>
      <c r="AC34" s="4">
        <f t="shared" si="7"/>
        <v>2.8918449971082616E-3</v>
      </c>
      <c r="AD34" s="32">
        <v>194.2</v>
      </c>
      <c r="AE34" s="4">
        <f t="shared" si="8"/>
        <v>3.6175710594315014E-3</v>
      </c>
      <c r="AF34" s="32">
        <v>179.1</v>
      </c>
      <c r="AG34" s="4">
        <f t="shared" si="9"/>
        <v>6.7453625632376557E-3</v>
      </c>
      <c r="AH34" s="32">
        <v>201</v>
      </c>
      <c r="AI34" s="4">
        <f t="shared" si="10"/>
        <v>1.9940179461614971E-3</v>
      </c>
      <c r="AJ34" s="32">
        <v>187.3</v>
      </c>
      <c r="AK34" s="4">
        <f t="shared" si="11"/>
        <v>2.1401819154629464E-3</v>
      </c>
      <c r="AL34" s="32">
        <v>179.7</v>
      </c>
      <c r="AM34" s="4">
        <f t="shared" si="12"/>
        <v>2.7901785714286031E-3</v>
      </c>
      <c r="AN34" s="32">
        <v>186.2</v>
      </c>
      <c r="AO34" s="4">
        <f t="shared" si="13"/>
        <v>2.692514808831481E-3</v>
      </c>
      <c r="AP34" s="32">
        <v>175.6</v>
      </c>
      <c r="AQ34" s="4">
        <f t="shared" si="14"/>
        <v>2.2831050228311334E-3</v>
      </c>
      <c r="AR34" s="32">
        <v>182.8</v>
      </c>
      <c r="AS34" s="4">
        <f t="shared" si="15"/>
        <v>6.0539350577877293E-3</v>
      </c>
      <c r="AT34" s="32">
        <v>175.2</v>
      </c>
      <c r="AU34" s="4">
        <f t="shared" si="16"/>
        <v>3.4364261168384758E-3</v>
      </c>
      <c r="AV34" s="32">
        <v>185.7</v>
      </c>
      <c r="AW34" s="4">
        <f t="shared" si="17"/>
        <v>3.7837837837837451E-3</v>
      </c>
      <c r="AX34" s="32">
        <v>164.8</v>
      </c>
      <c r="AY34" s="4">
        <f t="shared" si="18"/>
        <v>1.8237082066869803E-3</v>
      </c>
      <c r="AZ34" s="32">
        <v>171.2</v>
      </c>
      <c r="BA34" s="4">
        <f t="shared" si="19"/>
        <v>2.9291154071471315E-3</v>
      </c>
      <c r="BB34" s="32">
        <v>177.1</v>
      </c>
      <c r="BC34" s="4">
        <f t="shared" si="20"/>
        <v>3.9682539682539542E-3</v>
      </c>
      <c r="BD34" s="32">
        <v>185.2</v>
      </c>
      <c r="BE34" s="4">
        <f t="shared" si="21"/>
        <v>6.5217391304346339E-3</v>
      </c>
      <c r="BF34" s="32">
        <v>175.7</v>
      </c>
      <c r="BG34" s="4">
        <f t="shared" si="22"/>
        <v>4.0000000000000036E-3</v>
      </c>
      <c r="BH34" s="32">
        <v>179.1</v>
      </c>
      <c r="BI34" s="4">
        <f t="shared" si="23"/>
        <v>5.6148231330712672E-3</v>
      </c>
    </row>
    <row r="41" spans="1:61">
      <c r="F41" t="s">
        <v>234</v>
      </c>
      <c r="G41" t="s">
        <v>235</v>
      </c>
      <c r="H41" t="s">
        <v>236</v>
      </c>
    </row>
    <row r="42" spans="1:61">
      <c r="F42" s="39" t="s">
        <v>3</v>
      </c>
      <c r="G42" s="38">
        <f>CORREL(G6:G34,I6:I34)</f>
        <v>-0.28707255255551306</v>
      </c>
      <c r="H42" s="36">
        <f>ABS(G42)</f>
        <v>0.28707255255551306</v>
      </c>
    </row>
    <row r="43" spans="1:61">
      <c r="F43" s="37" t="s">
        <v>4</v>
      </c>
      <c r="G43" s="36">
        <f>CORREL(G6:G34,K6:K34)</f>
        <v>0.39718270883720203</v>
      </c>
      <c r="H43" s="36">
        <f t="shared" ref="H43:H68" si="26">ABS(G43)</f>
        <v>0.39718270883720203</v>
      </c>
    </row>
    <row r="44" spans="1:61">
      <c r="F44" s="39" t="s">
        <v>5</v>
      </c>
      <c r="G44" s="36">
        <f>CORREL(G6:G34,M6:M34)</f>
        <v>-0.25825016620219282</v>
      </c>
      <c r="H44" s="36">
        <f t="shared" si="26"/>
        <v>0.25825016620219282</v>
      </c>
    </row>
    <row r="45" spans="1:61">
      <c r="F45" s="37" t="s">
        <v>6</v>
      </c>
      <c r="G45" s="36">
        <f>CORREL(G6:G34,O6:O34)</f>
        <v>-0.29469571344585282</v>
      </c>
      <c r="H45" s="36">
        <f t="shared" si="26"/>
        <v>0.29469571344585282</v>
      </c>
    </row>
    <row r="46" spans="1:61">
      <c r="F46" s="39" t="s">
        <v>7</v>
      </c>
      <c r="G46" s="36">
        <f>CORREL(G6:G34,Q6:Q34)</f>
        <v>0.44096532815962586</v>
      </c>
      <c r="H46" s="36">
        <f t="shared" si="26"/>
        <v>0.44096532815962586</v>
      </c>
    </row>
    <row r="47" spans="1:61">
      <c r="F47" s="37" t="s">
        <v>8</v>
      </c>
      <c r="G47" s="36">
        <f>CORREL(G6:G34,S6:S34)</f>
        <v>0.10047128620408963</v>
      </c>
      <c r="H47" s="36">
        <f t="shared" si="26"/>
        <v>0.10047128620408963</v>
      </c>
    </row>
    <row r="48" spans="1:61">
      <c r="F48" s="39" t="s">
        <v>9</v>
      </c>
      <c r="G48" s="36">
        <f>CORREL(G6:G34,U6:U34)</f>
        <v>-2.7408084174838556E-2</v>
      </c>
      <c r="H48" s="36">
        <f t="shared" si="26"/>
        <v>2.7408084174838556E-2</v>
      </c>
    </row>
    <row r="49" spans="6:8">
      <c r="F49" s="37" t="s">
        <v>10</v>
      </c>
      <c r="G49" s="36">
        <f>CORREL(G6:G34,W6:W34)</f>
        <v>-0.21597194956597923</v>
      </c>
      <c r="H49" s="36">
        <f t="shared" si="26"/>
        <v>0.21597194956597923</v>
      </c>
    </row>
    <row r="50" spans="6:8">
      <c r="F50" s="39" t="s">
        <v>11</v>
      </c>
      <c r="G50" s="36">
        <f>CORREL(G6:G34,Y6:Y34)</f>
        <v>-0.21541297967146758</v>
      </c>
      <c r="H50" s="36">
        <f t="shared" si="26"/>
        <v>0.21541297967146758</v>
      </c>
    </row>
    <row r="51" spans="6:8">
      <c r="F51" s="37" t="s">
        <v>12</v>
      </c>
      <c r="G51" s="36">
        <f>CORREL(G6:G34,AA6:AA34)</f>
        <v>-0.17952811928347689</v>
      </c>
      <c r="H51" s="36">
        <f t="shared" si="26"/>
        <v>0.17952811928347689</v>
      </c>
    </row>
    <row r="52" spans="6:8">
      <c r="F52" s="39" t="s">
        <v>173</v>
      </c>
      <c r="G52" s="36">
        <f>CORREL(G6:G34,AC6:AC34)</f>
        <v>0.25331183745000951</v>
      </c>
      <c r="H52" s="36">
        <f t="shared" si="26"/>
        <v>0.25331183745000951</v>
      </c>
    </row>
    <row r="53" spans="6:8">
      <c r="F53" s="37" t="s">
        <v>174</v>
      </c>
      <c r="G53" s="36">
        <f>CORREL(G6:G34,AE6:AE34)</f>
        <v>0.10631761644174326</v>
      </c>
      <c r="H53" s="36">
        <f t="shared" si="26"/>
        <v>0.10631761644174326</v>
      </c>
    </row>
    <row r="54" spans="6:8">
      <c r="F54" s="39" t="s">
        <v>15</v>
      </c>
      <c r="G54" s="36">
        <f>CORREL(G6:G34,AG6:AG34)</f>
        <v>1.6913447847478245E-2</v>
      </c>
      <c r="H54" s="36">
        <f t="shared" si="26"/>
        <v>1.6913447847478245E-2</v>
      </c>
    </row>
    <row r="55" spans="6:8">
      <c r="F55" s="37" t="s">
        <v>16</v>
      </c>
      <c r="G55" s="36">
        <f>CORREL(G6:G34,AI6:AI34)</f>
        <v>0.13197680613920279</v>
      </c>
      <c r="H55" s="36">
        <f t="shared" si="26"/>
        <v>0.13197680613920279</v>
      </c>
    </row>
    <row r="56" spans="6:8">
      <c r="F56" s="39" t="s">
        <v>17</v>
      </c>
      <c r="G56" s="36">
        <f>CORREL(G6:G34,AK6:AK34)</f>
        <v>7.0930195699487789E-2</v>
      </c>
      <c r="H56" s="36">
        <f t="shared" si="26"/>
        <v>7.0930195699487789E-2</v>
      </c>
    </row>
    <row r="57" spans="6:8">
      <c r="F57" s="37" t="s">
        <v>18</v>
      </c>
      <c r="G57" s="36">
        <f>CORREL(G6:G34,AM6:AM34)</f>
        <v>0.15173608347382439</v>
      </c>
      <c r="H57" s="36">
        <f t="shared" si="26"/>
        <v>0.15173608347382439</v>
      </c>
    </row>
    <row r="58" spans="6:8">
      <c r="F58" s="39" t="s">
        <v>19</v>
      </c>
      <c r="G58" s="36">
        <f>CORREL(G6:G34,AO6:AO34)</f>
        <v>9.4503312242819479E-2</v>
      </c>
      <c r="H58" s="36">
        <f t="shared" si="26"/>
        <v>9.4503312242819479E-2</v>
      </c>
    </row>
    <row r="59" spans="6:8">
      <c r="F59" s="37" t="s">
        <v>20</v>
      </c>
      <c r="G59" s="36">
        <f>CORREL(G6:G34,AQ6:AQ34)</f>
        <v>0.10186501816593618</v>
      </c>
      <c r="H59" s="36">
        <f t="shared" si="26"/>
        <v>0.10186501816593618</v>
      </c>
    </row>
    <row r="60" spans="6:8">
      <c r="F60" s="39" t="s">
        <v>21</v>
      </c>
      <c r="G60" s="36">
        <f>CORREL(G6:G34,AS6:AS34)</f>
        <v>0.21505687023102163</v>
      </c>
      <c r="H60" s="36">
        <f t="shared" si="26"/>
        <v>0.21505687023102163</v>
      </c>
    </row>
    <row r="61" spans="6:8">
      <c r="F61" s="37" t="s">
        <v>22</v>
      </c>
      <c r="G61" s="36">
        <f>CORREL(G6:G34,AU6:AU34)</f>
        <v>-5.5268502150690214E-2</v>
      </c>
      <c r="H61" s="36">
        <f t="shared" si="26"/>
        <v>5.5268502150690214E-2</v>
      </c>
    </row>
    <row r="62" spans="6:8">
      <c r="F62" s="39" t="s">
        <v>23</v>
      </c>
      <c r="G62" s="36">
        <f>CORREL(G6:G34,AW6:AW34)</f>
        <v>4.6789319560001499E-2</v>
      </c>
      <c r="H62" s="36">
        <f t="shared" si="26"/>
        <v>4.6789319560001499E-2</v>
      </c>
    </row>
    <row r="63" spans="6:8">
      <c r="F63" s="37" t="s">
        <v>24</v>
      </c>
      <c r="G63" s="36">
        <f>CORREL(G6:G34,AY6:AY34)</f>
        <v>0.20823006744674732</v>
      </c>
      <c r="H63" s="36">
        <f t="shared" si="26"/>
        <v>0.20823006744674732</v>
      </c>
    </row>
    <row r="64" spans="6:8">
      <c r="F64" s="39" t="s">
        <v>25</v>
      </c>
      <c r="G64" s="36">
        <f>CORREL(G6:G34,BA6:BA34)</f>
        <v>0.1397459541942731</v>
      </c>
      <c r="H64" s="36">
        <f t="shared" si="26"/>
        <v>0.1397459541942731</v>
      </c>
    </row>
    <row r="65" spans="6:8">
      <c r="F65" s="37" t="s">
        <v>26</v>
      </c>
      <c r="G65" s="36">
        <f>CORREL(G6:G34,BC6:BC34)</f>
        <v>-0.18400243211707532</v>
      </c>
      <c r="H65" s="36">
        <f t="shared" si="26"/>
        <v>0.18400243211707532</v>
      </c>
    </row>
    <row r="66" spans="6:8">
      <c r="F66" s="39" t="s">
        <v>27</v>
      </c>
      <c r="G66" s="36">
        <f>CORREL(G6:G34,BE6:BE34)</f>
        <v>-6.6524485639466391E-2</v>
      </c>
      <c r="H66" s="36">
        <f t="shared" si="26"/>
        <v>6.6524485639466391E-2</v>
      </c>
    </row>
    <row r="67" spans="6:8">
      <c r="F67" s="37" t="s">
        <v>28</v>
      </c>
      <c r="G67" s="36">
        <f>CORREL(G6:G34,BG6:BG34)</f>
        <v>0.11637299331751344</v>
      </c>
      <c r="H67" s="36">
        <f t="shared" si="26"/>
        <v>0.11637299331751344</v>
      </c>
    </row>
    <row r="68" spans="6:8">
      <c r="F68" s="40" t="s">
        <v>29</v>
      </c>
      <c r="G68" s="36">
        <f>CORREL(G6:G34,BI6:BI34)</f>
        <v>5.5170989681073875E-2</v>
      </c>
      <c r="H68" s="36">
        <f t="shared" si="26"/>
        <v>5.5170989681073875E-2</v>
      </c>
    </row>
  </sheetData>
  <phoneticPr fontId="2" type="noConversion"/>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5AE0-C4D4-4DCE-B7A2-803DEDA46C17}">
  <dimension ref="A1:AF126"/>
  <sheetViews>
    <sheetView workbookViewId="0">
      <selection activeCell="F1" sqref="F1:AF1"/>
    </sheetView>
  </sheetViews>
  <sheetFormatPr defaultRowHeight="14.45"/>
  <cols>
    <col min="1" max="1" width="11.140625" bestFit="1" customWidth="1"/>
    <col min="2" max="2" width="6.85546875" bestFit="1" customWidth="1"/>
    <col min="3" max="3" width="9.7109375" bestFit="1" customWidth="1"/>
    <col min="4" max="4" width="15.5703125" bestFit="1" customWidth="1"/>
    <col min="5" max="5" width="7.140625" bestFit="1" customWidth="1"/>
    <col min="6" max="6" width="21" bestFit="1" customWidth="1"/>
    <col min="7" max="7" width="14.140625" bestFit="1" customWidth="1"/>
    <col min="8" max="8" width="6" bestFit="1" customWidth="1"/>
    <col min="9" max="9" width="18.140625" bestFit="1" customWidth="1"/>
    <col min="10" max="10" width="13.42578125" bestFit="1" customWidth="1"/>
    <col min="11" max="11" width="8" bestFit="1" customWidth="1"/>
    <col min="12" max="12" width="12.42578125" bestFit="1" customWidth="1"/>
    <col min="13" max="13" width="20.140625" bestFit="1" customWidth="1"/>
    <col min="14" max="14" width="23.5703125" bestFit="1" customWidth="1"/>
    <col min="16" max="16" width="23.7109375" bestFit="1" customWidth="1"/>
    <col min="17" max="17" width="33.28515625" bestFit="1" customWidth="1"/>
    <col min="18" max="18" width="19.7109375" bestFit="1" customWidth="1"/>
    <col min="19" max="19" width="27.28515625" bestFit="1" customWidth="1"/>
    <col min="20" max="20" width="10.140625" bestFit="1" customWidth="1"/>
    <col min="21" max="21" width="10.85546875" bestFit="1" customWidth="1"/>
    <col min="22" max="22" width="21.28515625" bestFit="1" customWidth="1"/>
    <col min="23" max="23" width="9.85546875" bestFit="1" customWidth="1"/>
    <col min="24" max="24" width="14.28515625" bestFit="1" customWidth="1"/>
    <col min="25" max="25" width="28.42578125" bestFit="1" customWidth="1"/>
    <col min="26" max="26" width="8.7109375" bestFit="1" customWidth="1"/>
    <col min="27" max="27" width="28.42578125" bestFit="1" customWidth="1"/>
    <col min="28" max="28" width="26.28515625" bestFit="1" customWidth="1"/>
    <col min="29" max="29" width="11.5703125" bestFit="1" customWidth="1"/>
    <col min="30" max="30" width="24.28515625" bestFit="1" customWidth="1"/>
    <col min="31" max="31" width="15.140625" bestFit="1" customWidth="1"/>
    <col min="32" max="32" width="14.7109375" bestFit="1" customWidth="1"/>
    <col min="33" max="33" width="15.140625" bestFit="1" customWidth="1"/>
    <col min="34" max="34" width="14.7109375" bestFit="1" customWidth="1"/>
    <col min="35" max="35" width="27.28515625" bestFit="1" customWidth="1"/>
    <col min="36" max="36" width="20.42578125" bestFit="1" customWidth="1"/>
    <col min="37" max="37" width="12.140625" bestFit="1" customWidth="1"/>
    <col min="38" max="38" width="24.42578125" bestFit="1" customWidth="1"/>
    <col min="39" max="39" width="19.7109375" bestFit="1" customWidth="1"/>
    <col min="40" max="40" width="14.140625" bestFit="1" customWidth="1"/>
    <col min="41" max="41" width="18.7109375" bestFit="1" customWidth="1"/>
    <col min="42" max="42" width="26.28515625" bestFit="1" customWidth="1"/>
    <col min="43" max="43" width="29.7109375" bestFit="1" customWidth="1"/>
    <col min="44" max="44" width="15" bestFit="1" customWidth="1"/>
    <col min="45" max="45" width="30.28515625" bestFit="1" customWidth="1"/>
    <col min="46" max="46" width="40.140625" bestFit="1" customWidth="1"/>
    <col min="47" max="47" width="26" bestFit="1" customWidth="1"/>
    <col min="48" max="48" width="33.7109375" bestFit="1" customWidth="1"/>
    <col min="49" max="49" width="16.28515625" bestFit="1" customWidth="1"/>
    <col min="50" max="50" width="17.140625" bestFit="1" customWidth="1"/>
    <col min="51" max="51" width="27.7109375" bestFit="1" customWidth="1"/>
    <col min="52" max="52" width="16.140625" bestFit="1" customWidth="1"/>
    <col min="53" max="53" width="20.5703125" bestFit="1" customWidth="1"/>
    <col min="54" max="54" width="34.7109375" bestFit="1" customWidth="1"/>
    <col min="55" max="55" width="14.85546875" bestFit="1" customWidth="1"/>
    <col min="56" max="56" width="34.7109375" bestFit="1" customWidth="1"/>
    <col min="57" max="57" width="32.5703125" bestFit="1" customWidth="1"/>
    <col min="58" max="58" width="17.7109375" bestFit="1" customWidth="1"/>
    <col min="59" max="59" width="30.42578125" bestFit="1" customWidth="1"/>
    <col min="60" max="60" width="21.42578125" bestFit="1" customWidth="1"/>
    <col min="61" max="61" width="21" bestFit="1" customWidth="1"/>
    <col min="62" max="62" width="24.7109375" bestFit="1" customWidth="1"/>
    <col min="63" max="63" width="17.85546875" bestFit="1" customWidth="1"/>
    <col min="64" max="64" width="9.7109375" bestFit="1" customWidth="1"/>
    <col min="65" max="65" width="21.85546875" bestFit="1" customWidth="1"/>
    <col min="66" max="66" width="17.28515625" bestFit="1" customWidth="1"/>
    <col min="67" max="67" width="11.7109375" bestFit="1" customWidth="1"/>
    <col min="68" max="68" width="16.28515625" bestFit="1" customWidth="1"/>
    <col min="69" max="69" width="23.85546875" bestFit="1" customWidth="1"/>
    <col min="70" max="70" width="27.28515625" bestFit="1" customWidth="1"/>
    <col min="71" max="71" width="12.5703125" bestFit="1" customWidth="1"/>
    <col min="72" max="72" width="27.28515625" bestFit="1" customWidth="1"/>
    <col min="73" max="73" width="37" bestFit="1" customWidth="1"/>
    <col min="74" max="74" width="23.5703125" bestFit="1" customWidth="1"/>
    <col min="75" max="75" width="31.140625" bestFit="1" customWidth="1"/>
    <col min="76" max="76" width="13.7109375" bestFit="1" customWidth="1"/>
    <col min="77" max="77" width="14.5703125" bestFit="1" customWidth="1"/>
    <col min="78" max="78" width="25.140625" bestFit="1" customWidth="1"/>
    <col min="79" max="79" width="13.5703125" bestFit="1" customWidth="1"/>
    <col min="80" max="80" width="18" bestFit="1" customWidth="1"/>
    <col min="81" max="81" width="32.28515625" bestFit="1" customWidth="1"/>
    <col min="82" max="82" width="12.42578125" bestFit="1" customWidth="1"/>
    <col min="83" max="83" width="32.28515625" bestFit="1" customWidth="1"/>
    <col min="84" max="84" width="30" bestFit="1" customWidth="1"/>
    <col min="85" max="85" width="15.28515625" bestFit="1" customWidth="1"/>
    <col min="86" max="86" width="28" bestFit="1" customWidth="1"/>
    <col min="87" max="87" width="18.85546875" bestFit="1" customWidth="1"/>
    <col min="88" max="88" width="18.42578125" bestFit="1" customWidth="1"/>
  </cols>
  <sheetData>
    <row r="1" spans="1:32">
      <c r="A1" t="s">
        <v>0</v>
      </c>
      <c r="B1" t="s">
        <v>1</v>
      </c>
      <c r="C1" t="s">
        <v>2</v>
      </c>
      <c r="D1" t="s">
        <v>165</v>
      </c>
      <c r="E1" t="s">
        <v>166</v>
      </c>
      <c r="F1" t="s">
        <v>3</v>
      </c>
      <c r="G1" t="s">
        <v>4</v>
      </c>
      <c r="H1" t="s">
        <v>5</v>
      </c>
      <c r="I1" t="s">
        <v>6</v>
      </c>
      <c r="J1" t="s">
        <v>7</v>
      </c>
      <c r="K1" t="s">
        <v>8</v>
      </c>
      <c r="L1" t="s">
        <v>9</v>
      </c>
      <c r="M1" t="s">
        <v>10</v>
      </c>
      <c r="N1" t="s">
        <v>11</v>
      </c>
      <c r="O1" t="s">
        <v>12</v>
      </c>
      <c r="P1" t="s">
        <v>173</v>
      </c>
      <c r="Q1" t="s">
        <v>174</v>
      </c>
      <c r="R1" t="s">
        <v>15</v>
      </c>
      <c r="S1" t="s">
        <v>16</v>
      </c>
      <c r="T1" t="s">
        <v>17</v>
      </c>
      <c r="U1" t="s">
        <v>18</v>
      </c>
      <c r="V1" t="s">
        <v>19</v>
      </c>
      <c r="W1" t="s">
        <v>20</v>
      </c>
      <c r="X1" t="s">
        <v>21</v>
      </c>
      <c r="Y1" t="s">
        <v>22</v>
      </c>
      <c r="Z1" t="s">
        <v>23</v>
      </c>
      <c r="AA1" t="s">
        <v>24</v>
      </c>
      <c r="AB1" t="s">
        <v>25</v>
      </c>
      <c r="AC1" t="s">
        <v>26</v>
      </c>
      <c r="AD1" t="s">
        <v>27</v>
      </c>
      <c r="AE1" t="s">
        <v>28</v>
      </c>
      <c r="AF1" t="s">
        <v>29</v>
      </c>
    </row>
    <row r="2" spans="1:32">
      <c r="A2" t="s">
        <v>35</v>
      </c>
      <c r="B2">
        <v>2013</v>
      </c>
      <c r="C2" t="s">
        <v>31</v>
      </c>
      <c r="D2">
        <v>1</v>
      </c>
      <c r="E2" s="1">
        <v>41275</v>
      </c>
      <c r="F2">
        <v>108.4</v>
      </c>
      <c r="G2">
        <v>107.3</v>
      </c>
      <c r="H2">
        <v>110</v>
      </c>
      <c r="I2">
        <v>104.4</v>
      </c>
      <c r="J2">
        <v>105.1</v>
      </c>
      <c r="K2">
        <v>103.2</v>
      </c>
      <c r="L2">
        <v>102.2</v>
      </c>
      <c r="M2">
        <v>106</v>
      </c>
      <c r="N2">
        <v>106.2</v>
      </c>
      <c r="O2">
        <v>102.7</v>
      </c>
      <c r="P2">
        <v>104.9</v>
      </c>
      <c r="Q2">
        <v>107.3</v>
      </c>
      <c r="R2">
        <v>105.6</v>
      </c>
      <c r="S2">
        <v>105.1</v>
      </c>
      <c r="T2">
        <v>106.3</v>
      </c>
      <c r="U2">
        <v>105.5</v>
      </c>
      <c r="V2">
        <v>106.2</v>
      </c>
      <c r="W2">
        <v>100.3</v>
      </c>
      <c r="X2">
        <v>105.5</v>
      </c>
      <c r="Y2">
        <v>104.8</v>
      </c>
      <c r="Z2">
        <v>104</v>
      </c>
      <c r="AA2">
        <v>103.2</v>
      </c>
      <c r="AB2">
        <v>103.1</v>
      </c>
      <c r="AC2">
        <v>103.6</v>
      </c>
      <c r="AD2">
        <v>104.5</v>
      </c>
      <c r="AE2">
        <v>103.9</v>
      </c>
      <c r="AF2">
        <v>104.6</v>
      </c>
    </row>
    <row r="3" spans="1:32">
      <c r="A3" t="s">
        <v>35</v>
      </c>
      <c r="B3">
        <v>2013</v>
      </c>
      <c r="C3" t="s">
        <v>36</v>
      </c>
      <c r="D3">
        <v>2</v>
      </c>
      <c r="E3" s="1">
        <v>41306</v>
      </c>
      <c r="F3">
        <v>110.4</v>
      </c>
      <c r="G3">
        <v>110.2</v>
      </c>
      <c r="H3">
        <v>112.8</v>
      </c>
      <c r="I3">
        <v>104.9</v>
      </c>
      <c r="J3">
        <v>105.5</v>
      </c>
      <c r="K3">
        <v>103.6</v>
      </c>
      <c r="L3">
        <v>103.2</v>
      </c>
      <c r="M3">
        <v>105.3</v>
      </c>
      <c r="N3">
        <v>105.1</v>
      </c>
      <c r="O3">
        <v>102.8</v>
      </c>
      <c r="P3">
        <v>105.5</v>
      </c>
      <c r="Q3">
        <v>108.3</v>
      </c>
      <c r="R3">
        <v>106.6</v>
      </c>
      <c r="S3">
        <v>105.7</v>
      </c>
      <c r="T3">
        <v>106.9</v>
      </c>
      <c r="U3">
        <v>106</v>
      </c>
      <c r="V3">
        <v>106.8</v>
      </c>
      <c r="W3">
        <v>100.4</v>
      </c>
      <c r="X3">
        <v>106</v>
      </c>
      <c r="Y3">
        <v>105.2</v>
      </c>
      <c r="Z3">
        <v>104.5</v>
      </c>
      <c r="AA3">
        <v>104.2</v>
      </c>
      <c r="AB3">
        <v>103.6</v>
      </c>
      <c r="AC3">
        <v>103.9</v>
      </c>
      <c r="AD3">
        <v>104.5</v>
      </c>
      <c r="AE3">
        <v>104.4</v>
      </c>
      <c r="AF3">
        <v>105.3</v>
      </c>
    </row>
    <row r="4" spans="1:32">
      <c r="A4" t="s">
        <v>35</v>
      </c>
      <c r="B4">
        <v>2013</v>
      </c>
      <c r="C4" t="s">
        <v>38</v>
      </c>
      <c r="D4">
        <v>3</v>
      </c>
      <c r="E4" s="1">
        <v>41334</v>
      </c>
      <c r="F4">
        <v>111.4</v>
      </c>
      <c r="G4">
        <v>109.7</v>
      </c>
      <c r="H4">
        <v>111.2</v>
      </c>
      <c r="I4">
        <v>105.1</v>
      </c>
      <c r="J4">
        <v>104.9</v>
      </c>
      <c r="K4">
        <v>105.3</v>
      </c>
      <c r="L4">
        <v>102.2</v>
      </c>
      <c r="M4">
        <v>105</v>
      </c>
      <c r="N4">
        <v>104.2</v>
      </c>
      <c r="O4">
        <v>103</v>
      </c>
      <c r="P4">
        <v>106.2</v>
      </c>
      <c r="Q4">
        <v>108.9</v>
      </c>
      <c r="R4">
        <v>106.9</v>
      </c>
      <c r="S4">
        <v>106.6</v>
      </c>
      <c r="T4">
        <v>107.4</v>
      </c>
      <c r="U4">
        <v>106.5</v>
      </c>
      <c r="V4">
        <v>107.3</v>
      </c>
      <c r="W4">
        <v>100.4</v>
      </c>
      <c r="X4">
        <v>106.1</v>
      </c>
      <c r="Y4">
        <v>105.6</v>
      </c>
      <c r="Z4">
        <v>104.9</v>
      </c>
      <c r="AA4">
        <v>105.1</v>
      </c>
      <c r="AB4">
        <v>103.7</v>
      </c>
      <c r="AC4">
        <v>104</v>
      </c>
      <c r="AD4">
        <v>104.3</v>
      </c>
      <c r="AE4">
        <v>104.7</v>
      </c>
      <c r="AF4">
        <v>105.5</v>
      </c>
    </row>
    <row r="5" spans="1:32">
      <c r="A5" t="s">
        <v>35</v>
      </c>
      <c r="B5">
        <v>2013</v>
      </c>
      <c r="C5" t="s">
        <v>39</v>
      </c>
      <c r="D5">
        <v>4</v>
      </c>
      <c r="E5" s="1">
        <v>41365</v>
      </c>
      <c r="F5">
        <v>111.6</v>
      </c>
      <c r="G5">
        <v>110.9</v>
      </c>
      <c r="H5">
        <v>106.6</v>
      </c>
      <c r="I5">
        <v>105.7</v>
      </c>
      <c r="J5">
        <v>104.4</v>
      </c>
      <c r="K5">
        <v>108.9</v>
      </c>
      <c r="L5">
        <v>105.5</v>
      </c>
      <c r="M5">
        <v>105.3</v>
      </c>
      <c r="N5">
        <v>103.5</v>
      </c>
      <c r="O5">
        <v>103.3</v>
      </c>
      <c r="P5">
        <v>107.2</v>
      </c>
      <c r="Q5">
        <v>109.6</v>
      </c>
      <c r="R5">
        <v>107.7</v>
      </c>
      <c r="S5">
        <v>107.5</v>
      </c>
      <c r="T5">
        <v>108</v>
      </c>
      <c r="U5">
        <v>107</v>
      </c>
      <c r="V5">
        <v>107.9</v>
      </c>
      <c r="W5">
        <v>100.5</v>
      </c>
      <c r="X5">
        <v>106.5</v>
      </c>
      <c r="Y5">
        <v>106.3</v>
      </c>
      <c r="Z5">
        <v>105.3</v>
      </c>
      <c r="AA5">
        <v>104.7</v>
      </c>
      <c r="AB5">
        <v>104.2</v>
      </c>
      <c r="AC5">
        <v>105</v>
      </c>
      <c r="AD5">
        <v>102.9</v>
      </c>
      <c r="AE5">
        <v>104.8</v>
      </c>
      <c r="AF5">
        <v>106.1</v>
      </c>
    </row>
    <row r="6" spans="1:32">
      <c r="A6" t="s">
        <v>35</v>
      </c>
      <c r="B6">
        <v>2013</v>
      </c>
      <c r="C6" t="s">
        <v>41</v>
      </c>
      <c r="D6">
        <v>5</v>
      </c>
      <c r="E6" s="1">
        <v>41395</v>
      </c>
      <c r="F6">
        <v>112.3</v>
      </c>
      <c r="G6">
        <v>111.3</v>
      </c>
      <c r="H6">
        <v>104.7</v>
      </c>
      <c r="I6">
        <v>106.8</v>
      </c>
      <c r="J6">
        <v>103.9</v>
      </c>
      <c r="K6">
        <v>109.3</v>
      </c>
      <c r="L6">
        <v>112.9</v>
      </c>
      <c r="M6">
        <v>105.8</v>
      </c>
      <c r="N6">
        <v>103.1</v>
      </c>
      <c r="O6">
        <v>104.3</v>
      </c>
      <c r="P6">
        <v>108.1</v>
      </c>
      <c r="Q6">
        <v>110.5</v>
      </c>
      <c r="R6">
        <v>109.2</v>
      </c>
      <c r="S6">
        <v>108.6</v>
      </c>
      <c r="T6">
        <v>108.7</v>
      </c>
      <c r="U6">
        <v>107.4</v>
      </c>
      <c r="V6">
        <v>108.5</v>
      </c>
      <c r="W6">
        <v>100.5</v>
      </c>
      <c r="X6">
        <v>107.4</v>
      </c>
      <c r="Y6">
        <v>106.9</v>
      </c>
      <c r="Z6">
        <v>105.9</v>
      </c>
      <c r="AA6">
        <v>104</v>
      </c>
      <c r="AB6">
        <v>104.8</v>
      </c>
      <c r="AC6">
        <v>105.6</v>
      </c>
      <c r="AD6">
        <v>102.3</v>
      </c>
      <c r="AE6">
        <v>104.8</v>
      </c>
      <c r="AF6">
        <v>106.9</v>
      </c>
    </row>
    <row r="7" spans="1:32">
      <c r="A7" t="s">
        <v>35</v>
      </c>
      <c r="B7">
        <v>2013</v>
      </c>
      <c r="C7" t="s">
        <v>42</v>
      </c>
      <c r="D7">
        <v>6</v>
      </c>
      <c r="E7" s="1">
        <v>41426</v>
      </c>
      <c r="F7">
        <v>113.8</v>
      </c>
      <c r="G7">
        <v>114.9</v>
      </c>
      <c r="H7">
        <v>109.8</v>
      </c>
      <c r="I7">
        <v>107.9</v>
      </c>
      <c r="J7">
        <v>104.2</v>
      </c>
      <c r="K7">
        <v>110.7</v>
      </c>
      <c r="L7">
        <v>126.7</v>
      </c>
      <c r="M7">
        <v>106.3</v>
      </c>
      <c r="N7">
        <v>103.2</v>
      </c>
      <c r="O7">
        <v>105.7</v>
      </c>
      <c r="P7">
        <v>109</v>
      </c>
      <c r="Q7">
        <v>111.6</v>
      </c>
      <c r="R7">
        <v>112.2</v>
      </c>
      <c r="S7">
        <v>109.5</v>
      </c>
      <c r="T7">
        <v>109.5</v>
      </c>
      <c r="U7">
        <v>108.1</v>
      </c>
      <c r="V7">
        <v>109.3</v>
      </c>
      <c r="W7">
        <v>106.6</v>
      </c>
      <c r="X7">
        <v>108.3</v>
      </c>
      <c r="Y7">
        <v>107.6</v>
      </c>
      <c r="Z7">
        <v>106.4</v>
      </c>
      <c r="AA7">
        <v>105.1</v>
      </c>
      <c r="AB7">
        <v>105.4</v>
      </c>
      <c r="AC7">
        <v>107.4</v>
      </c>
      <c r="AD7">
        <v>102.8</v>
      </c>
      <c r="AE7">
        <v>105.8</v>
      </c>
      <c r="AF7">
        <v>109.3</v>
      </c>
    </row>
    <row r="8" spans="1:32">
      <c r="A8" t="s">
        <v>35</v>
      </c>
      <c r="B8">
        <v>2013</v>
      </c>
      <c r="C8" t="s">
        <v>44</v>
      </c>
      <c r="D8">
        <v>7</v>
      </c>
      <c r="E8" s="1">
        <v>41456</v>
      </c>
      <c r="F8">
        <v>114.8</v>
      </c>
      <c r="G8">
        <v>116.4</v>
      </c>
      <c r="H8">
        <v>111.9</v>
      </c>
      <c r="I8">
        <v>108.9</v>
      </c>
      <c r="J8">
        <v>104.3</v>
      </c>
      <c r="K8">
        <v>111.7</v>
      </c>
      <c r="L8">
        <v>140</v>
      </c>
      <c r="M8">
        <v>106.4</v>
      </c>
      <c r="N8">
        <v>103.3</v>
      </c>
      <c r="O8">
        <v>106.8</v>
      </c>
      <c r="P8">
        <v>109.6</v>
      </c>
      <c r="Q8">
        <v>112.6</v>
      </c>
      <c r="R8">
        <v>114.7</v>
      </c>
      <c r="S8">
        <v>110.3</v>
      </c>
      <c r="T8">
        <v>110.2</v>
      </c>
      <c r="U8">
        <v>108.8</v>
      </c>
      <c r="V8">
        <v>110</v>
      </c>
      <c r="W8">
        <v>107.7</v>
      </c>
      <c r="X8">
        <v>109.2</v>
      </c>
      <c r="Y8">
        <v>108.2</v>
      </c>
      <c r="Z8">
        <v>107</v>
      </c>
      <c r="AA8">
        <v>107.1</v>
      </c>
      <c r="AB8">
        <v>106.1</v>
      </c>
      <c r="AC8">
        <v>109.1</v>
      </c>
      <c r="AD8">
        <v>102.8</v>
      </c>
      <c r="AE8">
        <v>106.9</v>
      </c>
      <c r="AF8">
        <v>111</v>
      </c>
    </row>
    <row r="9" spans="1:32">
      <c r="A9" t="s">
        <v>35</v>
      </c>
      <c r="B9">
        <v>2013</v>
      </c>
      <c r="C9" t="s">
        <v>46</v>
      </c>
      <c r="D9">
        <v>8</v>
      </c>
      <c r="E9" s="1">
        <v>41487</v>
      </c>
      <c r="F9">
        <v>115.6</v>
      </c>
      <c r="G9">
        <v>117.2</v>
      </c>
      <c r="H9">
        <v>111.7</v>
      </c>
      <c r="I9">
        <v>109.6</v>
      </c>
      <c r="J9">
        <v>104.5</v>
      </c>
      <c r="K9">
        <v>109.8</v>
      </c>
      <c r="L9">
        <v>151.80000000000001</v>
      </c>
      <c r="M9">
        <v>106.5</v>
      </c>
      <c r="N9">
        <v>103.1</v>
      </c>
      <c r="O9">
        <v>107.4</v>
      </c>
      <c r="P9">
        <v>110.2</v>
      </c>
      <c r="Q9">
        <v>113.4</v>
      </c>
      <c r="R9">
        <v>116.6</v>
      </c>
      <c r="S9">
        <v>111.2</v>
      </c>
      <c r="T9">
        <v>111</v>
      </c>
      <c r="U9">
        <v>109.4</v>
      </c>
      <c r="V9">
        <v>110.7</v>
      </c>
      <c r="W9">
        <v>108.9</v>
      </c>
      <c r="X9">
        <v>109.7</v>
      </c>
      <c r="Y9">
        <v>108.7</v>
      </c>
      <c r="Z9">
        <v>107.5</v>
      </c>
      <c r="AA9">
        <v>108</v>
      </c>
      <c r="AB9">
        <v>106.6</v>
      </c>
      <c r="AC9">
        <v>109.9</v>
      </c>
      <c r="AD9">
        <v>105.4</v>
      </c>
      <c r="AE9">
        <v>107.9</v>
      </c>
      <c r="AF9">
        <v>112.4</v>
      </c>
    </row>
    <row r="10" spans="1:32">
      <c r="A10" t="s">
        <v>35</v>
      </c>
      <c r="B10">
        <v>2013</v>
      </c>
      <c r="C10" t="s">
        <v>48</v>
      </c>
      <c r="D10">
        <v>9</v>
      </c>
      <c r="E10" s="1">
        <v>41518</v>
      </c>
      <c r="F10">
        <v>116.4</v>
      </c>
      <c r="G10">
        <v>116.9</v>
      </c>
      <c r="H10">
        <v>112.3</v>
      </c>
      <c r="I10">
        <v>110.5</v>
      </c>
      <c r="J10">
        <v>105.3</v>
      </c>
      <c r="K10">
        <v>107.3</v>
      </c>
      <c r="L10">
        <v>160.9</v>
      </c>
      <c r="M10">
        <v>107.1</v>
      </c>
      <c r="N10">
        <v>103.1</v>
      </c>
      <c r="O10">
        <v>108.3</v>
      </c>
      <c r="P10">
        <v>110.7</v>
      </c>
      <c r="Q10">
        <v>114.6</v>
      </c>
      <c r="R10">
        <v>118.3</v>
      </c>
      <c r="S10">
        <v>112</v>
      </c>
      <c r="T10">
        <v>112.2</v>
      </c>
      <c r="U10">
        <v>110.4</v>
      </c>
      <c r="V10">
        <v>111.9</v>
      </c>
      <c r="W10">
        <v>109.7</v>
      </c>
      <c r="X10">
        <v>110.5</v>
      </c>
      <c r="Y10">
        <v>109.6</v>
      </c>
      <c r="Z10">
        <v>108.1</v>
      </c>
      <c r="AA10">
        <v>109.9</v>
      </c>
      <c r="AB10">
        <v>107.5</v>
      </c>
      <c r="AC10">
        <v>110.6</v>
      </c>
      <c r="AD10">
        <v>106.8</v>
      </c>
      <c r="AE10">
        <v>109</v>
      </c>
      <c r="AF10">
        <v>113.7</v>
      </c>
    </row>
    <row r="11" spans="1:32">
      <c r="A11" t="s">
        <v>35</v>
      </c>
      <c r="B11">
        <v>2013</v>
      </c>
      <c r="C11" t="s">
        <v>50</v>
      </c>
      <c r="D11">
        <v>10</v>
      </c>
      <c r="E11" s="1">
        <v>41548</v>
      </c>
      <c r="F11">
        <v>117.1</v>
      </c>
      <c r="G11">
        <v>116.3</v>
      </c>
      <c r="H11">
        <v>113.3</v>
      </c>
      <c r="I11">
        <v>111.2</v>
      </c>
      <c r="J11">
        <v>105.7</v>
      </c>
      <c r="K11">
        <v>109.9</v>
      </c>
      <c r="L11">
        <v>171.2</v>
      </c>
      <c r="M11">
        <v>107.3</v>
      </c>
      <c r="N11">
        <v>102.7</v>
      </c>
      <c r="O11">
        <v>108.7</v>
      </c>
      <c r="P11">
        <v>111.2</v>
      </c>
      <c r="Q11">
        <v>115.4</v>
      </c>
      <c r="R11">
        <v>120.2</v>
      </c>
      <c r="S11">
        <v>112.5</v>
      </c>
      <c r="T11">
        <v>113.2</v>
      </c>
      <c r="U11">
        <v>111.2</v>
      </c>
      <c r="V11">
        <v>112.8</v>
      </c>
      <c r="W11">
        <v>110.5</v>
      </c>
      <c r="X11">
        <v>110.9</v>
      </c>
      <c r="Y11">
        <v>110.3</v>
      </c>
      <c r="Z11">
        <v>108.6</v>
      </c>
      <c r="AA11">
        <v>109.5</v>
      </c>
      <c r="AB11">
        <v>108.1</v>
      </c>
      <c r="AC11">
        <v>110.8</v>
      </c>
      <c r="AD11">
        <v>107.4</v>
      </c>
      <c r="AE11">
        <v>109.2</v>
      </c>
      <c r="AF11">
        <v>114.8</v>
      </c>
    </row>
    <row r="12" spans="1:32">
      <c r="A12" t="s">
        <v>35</v>
      </c>
      <c r="B12">
        <v>2013</v>
      </c>
      <c r="C12" t="s">
        <v>53</v>
      </c>
      <c r="D12">
        <v>11</v>
      </c>
      <c r="E12" s="1">
        <v>41579</v>
      </c>
      <c r="F12">
        <v>118.1</v>
      </c>
      <c r="G12">
        <v>115.4</v>
      </c>
      <c r="H12">
        <v>118.7</v>
      </c>
      <c r="I12">
        <v>112.5</v>
      </c>
      <c r="J12">
        <v>106.8</v>
      </c>
      <c r="K12">
        <v>113.5</v>
      </c>
      <c r="L12">
        <v>183.1</v>
      </c>
      <c r="M12">
        <v>108.2</v>
      </c>
      <c r="N12">
        <v>102.2</v>
      </c>
      <c r="O12">
        <v>109.4</v>
      </c>
      <c r="P12">
        <v>111.8</v>
      </c>
      <c r="Q12">
        <v>116.5</v>
      </c>
      <c r="R12">
        <v>122.6</v>
      </c>
      <c r="S12">
        <v>113.1</v>
      </c>
      <c r="T12">
        <v>114.2</v>
      </c>
      <c r="U12">
        <v>111.9</v>
      </c>
      <c r="V12">
        <v>113.8</v>
      </c>
      <c r="W12">
        <v>111.1</v>
      </c>
      <c r="X12">
        <v>111.6</v>
      </c>
      <c r="Y12">
        <v>111.1</v>
      </c>
      <c r="Z12">
        <v>109.3</v>
      </c>
      <c r="AA12">
        <v>109.5</v>
      </c>
      <c r="AB12">
        <v>108.6</v>
      </c>
      <c r="AC12">
        <v>111.2</v>
      </c>
      <c r="AD12">
        <v>108.1</v>
      </c>
      <c r="AE12">
        <v>109.7</v>
      </c>
      <c r="AF12">
        <v>116.3</v>
      </c>
    </row>
    <row r="13" spans="1:32">
      <c r="A13" t="s">
        <v>35</v>
      </c>
      <c r="B13">
        <v>2013</v>
      </c>
      <c r="C13" t="s">
        <v>55</v>
      </c>
      <c r="D13">
        <v>12</v>
      </c>
      <c r="E13" s="1">
        <v>41609</v>
      </c>
      <c r="F13">
        <v>119.1</v>
      </c>
      <c r="G13">
        <v>116.7</v>
      </c>
      <c r="H13">
        <v>123.5</v>
      </c>
      <c r="I13">
        <v>113.4</v>
      </c>
      <c r="J13">
        <v>107.3</v>
      </c>
      <c r="K13">
        <v>113.3</v>
      </c>
      <c r="L13">
        <v>145.4</v>
      </c>
      <c r="M13">
        <v>108.7</v>
      </c>
      <c r="N13">
        <v>101.5</v>
      </c>
      <c r="O13">
        <v>110.5</v>
      </c>
      <c r="P13">
        <v>112.1</v>
      </c>
      <c r="Q13">
        <v>117.4</v>
      </c>
      <c r="R13">
        <v>118.4</v>
      </c>
      <c r="S13">
        <v>114</v>
      </c>
      <c r="T13">
        <v>115.2</v>
      </c>
      <c r="U13">
        <v>112.7</v>
      </c>
      <c r="V13">
        <v>114.8</v>
      </c>
      <c r="W13">
        <v>110.7</v>
      </c>
      <c r="X13">
        <v>111.9</v>
      </c>
      <c r="Y13">
        <v>111.7</v>
      </c>
      <c r="Z13">
        <v>109.7</v>
      </c>
      <c r="AA13">
        <v>109.8</v>
      </c>
      <c r="AB13">
        <v>109</v>
      </c>
      <c r="AC13">
        <v>111.5</v>
      </c>
      <c r="AD13">
        <v>107.9</v>
      </c>
      <c r="AE13">
        <v>110</v>
      </c>
      <c r="AF13">
        <v>114.5</v>
      </c>
    </row>
    <row r="14" spans="1:32">
      <c r="A14" t="s">
        <v>35</v>
      </c>
      <c r="B14">
        <v>2014</v>
      </c>
      <c r="C14" t="s">
        <v>31</v>
      </c>
      <c r="D14">
        <v>1</v>
      </c>
      <c r="E14" s="1">
        <v>41640</v>
      </c>
      <c r="F14">
        <v>119.6</v>
      </c>
      <c r="G14">
        <v>118.8</v>
      </c>
      <c r="H14">
        <v>124.1</v>
      </c>
      <c r="I14">
        <v>114.1</v>
      </c>
      <c r="J14">
        <v>106.8</v>
      </c>
      <c r="K14">
        <v>113.9</v>
      </c>
      <c r="L14">
        <v>122.2</v>
      </c>
      <c r="M14">
        <v>108.9</v>
      </c>
      <c r="N14">
        <v>100.2</v>
      </c>
      <c r="O14">
        <v>111</v>
      </c>
      <c r="P14">
        <v>112.3</v>
      </c>
      <c r="Q14">
        <v>118.1</v>
      </c>
      <c r="R14">
        <v>115.8</v>
      </c>
      <c r="S14">
        <v>114.5</v>
      </c>
      <c r="T14">
        <v>115.8</v>
      </c>
      <c r="U14">
        <v>113.2</v>
      </c>
      <c r="V14">
        <v>115.4</v>
      </c>
      <c r="W14">
        <v>111.6</v>
      </c>
      <c r="X14">
        <v>112.2</v>
      </c>
      <c r="Y14">
        <v>112.3</v>
      </c>
      <c r="Z14">
        <v>110.3</v>
      </c>
      <c r="AA14">
        <v>110.7</v>
      </c>
      <c r="AB14">
        <v>109.7</v>
      </c>
      <c r="AC14">
        <v>111.6</v>
      </c>
      <c r="AD14">
        <v>108.2</v>
      </c>
      <c r="AE14">
        <v>110.6</v>
      </c>
      <c r="AF14">
        <v>113.6</v>
      </c>
    </row>
    <row r="15" spans="1:32">
      <c r="A15" t="s">
        <v>35</v>
      </c>
      <c r="B15">
        <v>2014</v>
      </c>
      <c r="C15" t="s">
        <v>36</v>
      </c>
      <c r="D15">
        <v>2</v>
      </c>
      <c r="E15" s="1">
        <v>41671</v>
      </c>
      <c r="F15">
        <v>120.2</v>
      </c>
      <c r="G15">
        <v>119.2</v>
      </c>
      <c r="H15">
        <v>122.5</v>
      </c>
      <c r="I15">
        <v>115.1</v>
      </c>
      <c r="J15">
        <v>106.6</v>
      </c>
      <c r="K15">
        <v>115.4</v>
      </c>
      <c r="L15">
        <v>114.5</v>
      </c>
      <c r="M15">
        <v>109.3</v>
      </c>
      <c r="N15">
        <v>99.2</v>
      </c>
      <c r="O15">
        <v>111.4</v>
      </c>
      <c r="P15">
        <v>112.6</v>
      </c>
      <c r="Q15">
        <v>118.8</v>
      </c>
      <c r="R15">
        <v>115.3</v>
      </c>
      <c r="S15">
        <v>114.7</v>
      </c>
      <c r="T15">
        <v>116.4</v>
      </c>
      <c r="U15">
        <v>113.3</v>
      </c>
      <c r="V15">
        <v>115.9</v>
      </c>
      <c r="W15">
        <v>112.5</v>
      </c>
      <c r="X15">
        <v>112.4</v>
      </c>
      <c r="Y15">
        <v>112.8</v>
      </c>
      <c r="Z15">
        <v>110.7</v>
      </c>
      <c r="AA15">
        <v>111.1</v>
      </c>
      <c r="AB15">
        <v>110.1</v>
      </c>
      <c r="AC15">
        <v>111.8</v>
      </c>
      <c r="AD15">
        <v>108.7</v>
      </c>
      <c r="AE15">
        <v>110.9</v>
      </c>
      <c r="AF15">
        <v>113.6</v>
      </c>
    </row>
    <row r="16" spans="1:32">
      <c r="A16" t="s">
        <v>35</v>
      </c>
      <c r="B16">
        <v>2014</v>
      </c>
      <c r="C16" t="s">
        <v>38</v>
      </c>
      <c r="D16">
        <v>3</v>
      </c>
      <c r="E16" s="1">
        <v>41699</v>
      </c>
      <c r="F16">
        <v>120.7</v>
      </c>
      <c r="G16">
        <v>119.3</v>
      </c>
      <c r="H16">
        <v>121</v>
      </c>
      <c r="I16">
        <v>116.1</v>
      </c>
      <c r="J16">
        <v>106.9</v>
      </c>
      <c r="K16">
        <v>118.7</v>
      </c>
      <c r="L16">
        <v>116.3</v>
      </c>
      <c r="M16">
        <v>109.8</v>
      </c>
      <c r="N16">
        <v>99.6</v>
      </c>
      <c r="O16">
        <v>111.8</v>
      </c>
      <c r="P16">
        <v>112.7</v>
      </c>
      <c r="Q16">
        <v>119.3</v>
      </c>
      <c r="R16">
        <v>116.1</v>
      </c>
      <c r="S16">
        <v>115.2</v>
      </c>
      <c r="T16">
        <v>116.8</v>
      </c>
      <c r="U16">
        <v>113.7</v>
      </c>
      <c r="V16">
        <v>116.4</v>
      </c>
      <c r="W16">
        <v>113.2</v>
      </c>
      <c r="X16">
        <v>112.5</v>
      </c>
      <c r="Y16">
        <v>113.2</v>
      </c>
      <c r="Z16">
        <v>111.2</v>
      </c>
      <c r="AA16">
        <v>111.4</v>
      </c>
      <c r="AB16">
        <v>110.6</v>
      </c>
      <c r="AC16">
        <v>112</v>
      </c>
      <c r="AD16">
        <v>109</v>
      </c>
      <c r="AE16">
        <v>111.3</v>
      </c>
      <c r="AF16">
        <v>114.2</v>
      </c>
    </row>
    <row r="17" spans="1:32">
      <c r="A17" t="s">
        <v>35</v>
      </c>
      <c r="B17">
        <v>2014</v>
      </c>
      <c r="C17" t="s">
        <v>39</v>
      </c>
      <c r="D17">
        <v>4</v>
      </c>
      <c r="E17" s="1">
        <v>41730</v>
      </c>
      <c r="F17">
        <v>120.9</v>
      </c>
      <c r="G17">
        <v>119.9</v>
      </c>
      <c r="H17">
        <v>116.2</v>
      </c>
      <c r="I17">
        <v>117</v>
      </c>
      <c r="J17">
        <v>107.3</v>
      </c>
      <c r="K17">
        <v>126.1</v>
      </c>
      <c r="L17">
        <v>120.7</v>
      </c>
      <c r="M17">
        <v>111</v>
      </c>
      <c r="N17">
        <v>101.8</v>
      </c>
      <c r="O17">
        <v>112.6</v>
      </c>
      <c r="P17">
        <v>113.2</v>
      </c>
      <c r="Q17">
        <v>119.8</v>
      </c>
      <c r="R17">
        <v>117.6</v>
      </c>
      <c r="S17">
        <v>116</v>
      </c>
      <c r="T17">
        <v>117.4</v>
      </c>
      <c r="U17">
        <v>114.6</v>
      </c>
      <c r="V17">
        <v>117</v>
      </c>
      <c r="W17">
        <v>113.9</v>
      </c>
      <c r="X17">
        <v>112.5</v>
      </c>
      <c r="Y17">
        <v>113.6</v>
      </c>
      <c r="Z17">
        <v>111.5</v>
      </c>
      <c r="AA17">
        <v>111.2</v>
      </c>
      <c r="AB17">
        <v>110.9</v>
      </c>
      <c r="AC17">
        <v>112.7</v>
      </c>
      <c r="AD17">
        <v>109</v>
      </c>
      <c r="AE17">
        <v>111.5</v>
      </c>
      <c r="AF17">
        <v>115.1</v>
      </c>
    </row>
    <row r="18" spans="1:32">
      <c r="A18" t="s">
        <v>35</v>
      </c>
      <c r="B18">
        <v>2014</v>
      </c>
      <c r="C18" t="s">
        <v>41</v>
      </c>
      <c r="D18">
        <v>5</v>
      </c>
      <c r="E18" s="1">
        <v>41760</v>
      </c>
      <c r="F18">
        <v>121.1</v>
      </c>
      <c r="G18">
        <v>121.6</v>
      </c>
      <c r="H18">
        <v>115.9</v>
      </c>
      <c r="I18">
        <v>118.4</v>
      </c>
      <c r="J18">
        <v>107.7</v>
      </c>
      <c r="K18">
        <v>127.7</v>
      </c>
      <c r="L18">
        <v>125</v>
      </c>
      <c r="M18">
        <v>111.9</v>
      </c>
      <c r="N18">
        <v>102.8</v>
      </c>
      <c r="O18">
        <v>113.4</v>
      </c>
      <c r="P18">
        <v>113.7</v>
      </c>
      <c r="Q18">
        <v>120.4</v>
      </c>
      <c r="R18">
        <v>118.9</v>
      </c>
      <c r="S18">
        <v>116.8</v>
      </c>
      <c r="T18">
        <v>118</v>
      </c>
      <c r="U18">
        <v>115.2</v>
      </c>
      <c r="V18">
        <v>117.6</v>
      </c>
      <c r="W18">
        <v>114.3</v>
      </c>
      <c r="X18">
        <v>112.5</v>
      </c>
      <c r="Y18">
        <v>114.1</v>
      </c>
      <c r="Z18">
        <v>111.8</v>
      </c>
      <c r="AA18">
        <v>111.3</v>
      </c>
      <c r="AB18">
        <v>111.2</v>
      </c>
      <c r="AC18">
        <v>113</v>
      </c>
      <c r="AD18">
        <v>109.1</v>
      </c>
      <c r="AE18">
        <v>111.8</v>
      </c>
      <c r="AF18">
        <v>115.8</v>
      </c>
    </row>
    <row r="19" spans="1:32">
      <c r="A19" t="s">
        <v>35</v>
      </c>
      <c r="B19">
        <v>2014</v>
      </c>
      <c r="C19" t="s">
        <v>42</v>
      </c>
      <c r="D19">
        <v>6</v>
      </c>
      <c r="E19" s="1">
        <v>41791</v>
      </c>
      <c r="F19">
        <v>121.5</v>
      </c>
      <c r="G19">
        <v>123.1</v>
      </c>
      <c r="H19">
        <v>115.8</v>
      </c>
      <c r="I19">
        <v>119.7</v>
      </c>
      <c r="J19">
        <v>107.8</v>
      </c>
      <c r="K19">
        <v>128.30000000000001</v>
      </c>
      <c r="L19">
        <v>132.1</v>
      </c>
      <c r="M19">
        <v>112.4</v>
      </c>
      <c r="N19">
        <v>102.9</v>
      </c>
      <c r="O19">
        <v>114.3</v>
      </c>
      <c r="P19">
        <v>114.2</v>
      </c>
      <c r="Q19">
        <v>121.2</v>
      </c>
      <c r="R19">
        <v>120.4</v>
      </c>
      <c r="S19">
        <v>117.8</v>
      </c>
      <c r="T19">
        <v>118.8</v>
      </c>
      <c r="U19">
        <v>115.6</v>
      </c>
      <c r="V19">
        <v>118.3</v>
      </c>
      <c r="W19">
        <v>113.9</v>
      </c>
      <c r="X19">
        <v>113.2</v>
      </c>
      <c r="Y19">
        <v>114.6</v>
      </c>
      <c r="Z19">
        <v>112.3</v>
      </c>
      <c r="AA19">
        <v>111.8</v>
      </c>
      <c r="AB19">
        <v>111.6</v>
      </c>
      <c r="AC19">
        <v>114.8</v>
      </c>
      <c r="AD19">
        <v>108.3</v>
      </c>
      <c r="AE19">
        <v>112.3</v>
      </c>
      <c r="AF19">
        <v>116.7</v>
      </c>
    </row>
    <row r="20" spans="1:32">
      <c r="A20" t="s">
        <v>35</v>
      </c>
      <c r="B20">
        <v>2014</v>
      </c>
      <c r="C20" t="s">
        <v>44</v>
      </c>
      <c r="D20">
        <v>7</v>
      </c>
      <c r="E20" s="1">
        <v>41821</v>
      </c>
      <c r="F20">
        <v>122.4</v>
      </c>
      <c r="G20">
        <v>123.9</v>
      </c>
      <c r="H20">
        <v>117.8</v>
      </c>
      <c r="I20">
        <v>121</v>
      </c>
      <c r="J20">
        <v>107.9</v>
      </c>
      <c r="K20">
        <v>131.19999999999999</v>
      </c>
      <c r="L20">
        <v>157.69999999999999</v>
      </c>
      <c r="M20">
        <v>113.2</v>
      </c>
      <c r="N20">
        <v>104.1</v>
      </c>
      <c r="O20">
        <v>115.5</v>
      </c>
      <c r="P20">
        <v>114.8</v>
      </c>
      <c r="Q20">
        <v>122.1</v>
      </c>
      <c r="R20">
        <v>124.7</v>
      </c>
      <c r="S20">
        <v>118.8</v>
      </c>
      <c r="T20">
        <v>119.6</v>
      </c>
      <c r="U20">
        <v>116.3</v>
      </c>
      <c r="V20">
        <v>119.1</v>
      </c>
      <c r="W20">
        <v>114.8</v>
      </c>
      <c r="X20">
        <v>113.9</v>
      </c>
      <c r="Y20">
        <v>115.2</v>
      </c>
      <c r="Z20">
        <v>112.7</v>
      </c>
      <c r="AA20">
        <v>113.1</v>
      </c>
      <c r="AB20">
        <v>112.1</v>
      </c>
      <c r="AC20">
        <v>116.8</v>
      </c>
      <c r="AD20">
        <v>109.2</v>
      </c>
      <c r="AE20">
        <v>113.3</v>
      </c>
      <c r="AF20">
        <v>119.2</v>
      </c>
    </row>
    <row r="21" spans="1:32">
      <c r="A21" t="s">
        <v>35</v>
      </c>
      <c r="B21">
        <v>2014</v>
      </c>
      <c r="C21" t="s">
        <v>46</v>
      </c>
      <c r="D21">
        <v>8</v>
      </c>
      <c r="E21" s="1">
        <v>41852</v>
      </c>
      <c r="F21">
        <v>122.7</v>
      </c>
      <c r="G21">
        <v>124.4</v>
      </c>
      <c r="H21">
        <v>117.3</v>
      </c>
      <c r="I21">
        <v>122</v>
      </c>
      <c r="J21">
        <v>108</v>
      </c>
      <c r="K21">
        <v>131.1</v>
      </c>
      <c r="L21">
        <v>168.2</v>
      </c>
      <c r="M21">
        <v>114.5</v>
      </c>
      <c r="N21">
        <v>104.3</v>
      </c>
      <c r="O21">
        <v>117.1</v>
      </c>
      <c r="P21">
        <v>115.2</v>
      </c>
      <c r="Q21">
        <v>123.1</v>
      </c>
      <c r="R21">
        <v>126.6</v>
      </c>
      <c r="S21">
        <v>119.9</v>
      </c>
      <c r="T21">
        <v>120</v>
      </c>
      <c r="U21">
        <v>116.8</v>
      </c>
      <c r="V21">
        <v>119.6</v>
      </c>
      <c r="W21">
        <v>115.5</v>
      </c>
      <c r="X21">
        <v>114</v>
      </c>
      <c r="Y21">
        <v>115.6</v>
      </c>
      <c r="Z21">
        <v>113.3</v>
      </c>
      <c r="AA21">
        <v>112.8</v>
      </c>
      <c r="AB21">
        <v>112.6</v>
      </c>
      <c r="AC21">
        <v>118</v>
      </c>
      <c r="AD21">
        <v>109.9</v>
      </c>
      <c r="AE21">
        <v>113.7</v>
      </c>
      <c r="AF21">
        <v>120.3</v>
      </c>
    </row>
    <row r="22" spans="1:32">
      <c r="A22" t="s">
        <v>35</v>
      </c>
      <c r="B22">
        <v>2014</v>
      </c>
      <c r="C22" t="s">
        <v>48</v>
      </c>
      <c r="D22">
        <v>9</v>
      </c>
      <c r="E22" s="1">
        <v>41883</v>
      </c>
      <c r="F22">
        <v>122.9</v>
      </c>
      <c r="G22">
        <v>123.5</v>
      </c>
      <c r="H22">
        <v>117.3</v>
      </c>
      <c r="I22">
        <v>122.7</v>
      </c>
      <c r="J22">
        <v>107.9</v>
      </c>
      <c r="K22">
        <v>127.3</v>
      </c>
      <c r="L22">
        <v>162.1</v>
      </c>
      <c r="M22">
        <v>115.6</v>
      </c>
      <c r="N22">
        <v>103.8</v>
      </c>
      <c r="O22">
        <v>117.6</v>
      </c>
      <c r="P22">
        <v>115.8</v>
      </c>
      <c r="Q22">
        <v>123.8</v>
      </c>
      <c r="R22">
        <v>125.8</v>
      </c>
      <c r="S22">
        <v>120.8</v>
      </c>
      <c r="T22">
        <v>120.7</v>
      </c>
      <c r="U22">
        <v>117.2</v>
      </c>
      <c r="V22">
        <v>120.1</v>
      </c>
      <c r="W22">
        <v>116.1</v>
      </c>
      <c r="X22">
        <v>114.3</v>
      </c>
      <c r="Y22">
        <v>116.1</v>
      </c>
      <c r="Z22">
        <v>113.7</v>
      </c>
      <c r="AA22">
        <v>112</v>
      </c>
      <c r="AB22">
        <v>113.1</v>
      </c>
      <c r="AC22">
        <v>118.6</v>
      </c>
      <c r="AD22">
        <v>109.5</v>
      </c>
      <c r="AE22">
        <v>113.7</v>
      </c>
      <c r="AF22">
        <v>120.1</v>
      </c>
    </row>
    <row r="23" spans="1:32">
      <c r="A23" t="s">
        <v>35</v>
      </c>
      <c r="B23">
        <v>2014</v>
      </c>
      <c r="C23" t="s">
        <v>50</v>
      </c>
      <c r="D23">
        <v>10</v>
      </c>
      <c r="E23" s="1">
        <v>41913</v>
      </c>
      <c r="F23">
        <v>123.2</v>
      </c>
      <c r="G23">
        <v>123.8</v>
      </c>
      <c r="H23">
        <v>118.1</v>
      </c>
      <c r="I23">
        <v>123.2</v>
      </c>
      <c r="J23">
        <v>107.9</v>
      </c>
      <c r="K23">
        <v>126.4</v>
      </c>
      <c r="L23">
        <v>156.80000000000001</v>
      </c>
      <c r="M23">
        <v>116.1</v>
      </c>
      <c r="N23">
        <v>103.1</v>
      </c>
      <c r="O23">
        <v>118.1</v>
      </c>
      <c r="P23">
        <v>116.1</v>
      </c>
      <c r="Q23">
        <v>124.5</v>
      </c>
      <c r="R23">
        <v>125.4</v>
      </c>
      <c r="S23">
        <v>121.1</v>
      </c>
      <c r="T23">
        <v>121.5</v>
      </c>
      <c r="U23">
        <v>118.1</v>
      </c>
      <c r="V23">
        <v>121</v>
      </c>
      <c r="W23">
        <v>116.7</v>
      </c>
      <c r="X23">
        <v>114.7</v>
      </c>
      <c r="Y23">
        <v>116.7</v>
      </c>
      <c r="Z23">
        <v>114.3</v>
      </c>
      <c r="AA23">
        <v>111.8</v>
      </c>
      <c r="AB23">
        <v>113.3</v>
      </c>
      <c r="AC23">
        <v>118.8</v>
      </c>
      <c r="AD23">
        <v>109.6</v>
      </c>
      <c r="AE23">
        <v>113.9</v>
      </c>
      <c r="AF23">
        <v>120.1</v>
      </c>
    </row>
    <row r="24" spans="1:32">
      <c r="A24" t="s">
        <v>35</v>
      </c>
      <c r="B24">
        <v>2014</v>
      </c>
      <c r="C24" t="s">
        <v>53</v>
      </c>
      <c r="D24">
        <v>11</v>
      </c>
      <c r="E24" s="1">
        <v>41944</v>
      </c>
      <c r="F24">
        <v>123.3</v>
      </c>
      <c r="G24">
        <v>123.7</v>
      </c>
      <c r="H24">
        <v>121</v>
      </c>
      <c r="I24">
        <v>124.2</v>
      </c>
      <c r="J24">
        <v>107.8</v>
      </c>
      <c r="K24">
        <v>125.7</v>
      </c>
      <c r="L24">
        <v>152.4</v>
      </c>
      <c r="M24">
        <v>117.2</v>
      </c>
      <c r="N24">
        <v>102.1</v>
      </c>
      <c r="O24">
        <v>118.7</v>
      </c>
      <c r="P24">
        <v>116.4</v>
      </c>
      <c r="Q24">
        <v>125.6</v>
      </c>
      <c r="R24">
        <v>125.1</v>
      </c>
      <c r="S24">
        <v>122.1</v>
      </c>
      <c r="T24">
        <v>122.1</v>
      </c>
      <c r="U24">
        <v>118.4</v>
      </c>
      <c r="V24">
        <v>121.6</v>
      </c>
      <c r="W24">
        <v>117.1</v>
      </c>
      <c r="X24">
        <v>115.5</v>
      </c>
      <c r="Y24">
        <v>117.3</v>
      </c>
      <c r="Z24">
        <v>114.8</v>
      </c>
      <c r="AA24">
        <v>110.8</v>
      </c>
      <c r="AB24">
        <v>113.7</v>
      </c>
      <c r="AC24">
        <v>119</v>
      </c>
      <c r="AD24">
        <v>109.1</v>
      </c>
      <c r="AE24">
        <v>113.8</v>
      </c>
      <c r="AF24">
        <v>120.1</v>
      </c>
    </row>
    <row r="25" spans="1:32">
      <c r="A25" t="s">
        <v>35</v>
      </c>
      <c r="B25">
        <v>2014</v>
      </c>
      <c r="C25" t="s">
        <v>55</v>
      </c>
      <c r="D25">
        <v>12</v>
      </c>
      <c r="E25" s="1">
        <v>41974</v>
      </c>
      <c r="F25">
        <v>122.9</v>
      </c>
      <c r="G25">
        <v>123.2</v>
      </c>
      <c r="H25">
        <v>123.5</v>
      </c>
      <c r="I25">
        <v>124.5</v>
      </c>
      <c r="J25">
        <v>107.6</v>
      </c>
      <c r="K25">
        <v>125.7</v>
      </c>
      <c r="L25">
        <v>140.5</v>
      </c>
      <c r="M25">
        <v>117.6</v>
      </c>
      <c r="N25">
        <v>100.6</v>
      </c>
      <c r="O25">
        <v>119.1</v>
      </c>
      <c r="P25">
        <v>116.8</v>
      </c>
      <c r="Q25">
        <v>126.1</v>
      </c>
      <c r="R25">
        <v>123.6</v>
      </c>
      <c r="S25">
        <v>123</v>
      </c>
      <c r="T25">
        <v>122.6</v>
      </c>
      <c r="U25">
        <v>118.6</v>
      </c>
      <c r="V25">
        <v>122</v>
      </c>
      <c r="W25">
        <v>116.5</v>
      </c>
      <c r="X25">
        <v>115.7</v>
      </c>
      <c r="Y25">
        <v>117.5</v>
      </c>
      <c r="Z25">
        <v>115.1</v>
      </c>
      <c r="AA25">
        <v>110.1</v>
      </c>
      <c r="AB25">
        <v>113.9</v>
      </c>
      <c r="AC25">
        <v>119.5</v>
      </c>
      <c r="AD25">
        <v>109.8</v>
      </c>
      <c r="AE25">
        <v>113.8</v>
      </c>
      <c r="AF25">
        <v>119.4</v>
      </c>
    </row>
    <row r="26" spans="1:32">
      <c r="A26" t="s">
        <v>35</v>
      </c>
      <c r="B26">
        <v>2015</v>
      </c>
      <c r="C26" t="s">
        <v>31</v>
      </c>
      <c r="D26">
        <v>1</v>
      </c>
      <c r="E26" s="1">
        <v>42005</v>
      </c>
      <c r="F26">
        <v>123.4</v>
      </c>
      <c r="G26">
        <v>123.9</v>
      </c>
      <c r="H26">
        <v>123.8</v>
      </c>
      <c r="I26">
        <v>125</v>
      </c>
      <c r="J26">
        <v>108.5</v>
      </c>
      <c r="K26">
        <v>126.2</v>
      </c>
      <c r="L26">
        <v>133</v>
      </c>
      <c r="M26">
        <v>119.1</v>
      </c>
      <c r="N26">
        <v>99</v>
      </c>
      <c r="O26">
        <v>120.3</v>
      </c>
      <c r="P26">
        <v>117.3</v>
      </c>
      <c r="Q26">
        <v>126.7</v>
      </c>
      <c r="R26">
        <v>123.1</v>
      </c>
      <c r="S26">
        <v>124</v>
      </c>
      <c r="T26">
        <v>123.1</v>
      </c>
      <c r="U26">
        <v>119.3</v>
      </c>
      <c r="V26">
        <v>122.5</v>
      </c>
      <c r="W26">
        <v>117.3</v>
      </c>
      <c r="X26">
        <v>116.5</v>
      </c>
      <c r="Y26">
        <v>118.1</v>
      </c>
      <c r="Z26">
        <v>115.5</v>
      </c>
      <c r="AA26">
        <v>109.4</v>
      </c>
      <c r="AB26">
        <v>114.3</v>
      </c>
      <c r="AC26">
        <v>119.7</v>
      </c>
      <c r="AD26">
        <v>110.7</v>
      </c>
      <c r="AE26">
        <v>114</v>
      </c>
      <c r="AF26">
        <v>119.5</v>
      </c>
    </row>
    <row r="27" spans="1:32">
      <c r="A27" t="s">
        <v>35</v>
      </c>
      <c r="B27">
        <v>2015</v>
      </c>
      <c r="C27" t="s">
        <v>36</v>
      </c>
      <c r="D27">
        <v>2</v>
      </c>
      <c r="E27" s="1">
        <v>42036</v>
      </c>
      <c r="F27">
        <v>123.7</v>
      </c>
      <c r="G27">
        <v>125.1</v>
      </c>
      <c r="H27">
        <v>121.1</v>
      </c>
      <c r="I27">
        <v>125.7</v>
      </c>
      <c r="J27">
        <v>109.1</v>
      </c>
      <c r="K27">
        <v>125.8</v>
      </c>
      <c r="L27">
        <v>129.4</v>
      </c>
      <c r="M27">
        <v>120.9</v>
      </c>
      <c r="N27">
        <v>98.3</v>
      </c>
      <c r="O27">
        <v>121.6</v>
      </c>
      <c r="P27">
        <v>118</v>
      </c>
      <c r="Q27">
        <v>127.6</v>
      </c>
      <c r="R27">
        <v>123.1</v>
      </c>
      <c r="S27">
        <v>125.2</v>
      </c>
      <c r="T27">
        <v>123.8</v>
      </c>
      <c r="U27">
        <v>120.1</v>
      </c>
      <c r="V27">
        <v>123.3</v>
      </c>
      <c r="W27">
        <v>118.1</v>
      </c>
      <c r="X27">
        <v>117.7</v>
      </c>
      <c r="Y27">
        <v>118.7</v>
      </c>
      <c r="Z27">
        <v>116.3</v>
      </c>
      <c r="AA27">
        <v>108.7</v>
      </c>
      <c r="AB27">
        <v>114.9</v>
      </c>
      <c r="AC27">
        <v>119.7</v>
      </c>
      <c r="AD27">
        <v>111.2</v>
      </c>
      <c r="AE27">
        <v>114.1</v>
      </c>
      <c r="AF27">
        <v>119.7</v>
      </c>
    </row>
    <row r="28" spans="1:32">
      <c r="A28" t="s">
        <v>35</v>
      </c>
      <c r="B28">
        <v>2015</v>
      </c>
      <c r="C28" t="s">
        <v>38</v>
      </c>
      <c r="D28">
        <v>3</v>
      </c>
      <c r="E28" s="1">
        <v>42064</v>
      </c>
      <c r="F28">
        <v>123.5</v>
      </c>
      <c r="G28">
        <v>125.4</v>
      </c>
      <c r="H28">
        <v>116.8</v>
      </c>
      <c r="I28">
        <v>126</v>
      </c>
      <c r="J28">
        <v>109.2</v>
      </c>
      <c r="K28">
        <v>127.6</v>
      </c>
      <c r="L28">
        <v>129.19999999999999</v>
      </c>
      <c r="M28">
        <v>122.4</v>
      </c>
      <c r="N28">
        <v>97</v>
      </c>
      <c r="O28">
        <v>122.1</v>
      </c>
      <c r="P28">
        <v>118.1</v>
      </c>
      <c r="Q28">
        <v>128.4</v>
      </c>
      <c r="R28">
        <v>123.4</v>
      </c>
      <c r="S28">
        <v>125.8</v>
      </c>
      <c r="T28">
        <v>124.3</v>
      </c>
      <c r="U28">
        <v>120.4</v>
      </c>
      <c r="V28">
        <v>123.7</v>
      </c>
      <c r="W28">
        <v>118.6</v>
      </c>
      <c r="X28">
        <v>118.3</v>
      </c>
      <c r="Y28">
        <v>119.2</v>
      </c>
      <c r="Z28">
        <v>116.7</v>
      </c>
      <c r="AA28">
        <v>109.9</v>
      </c>
      <c r="AB28">
        <v>115.4</v>
      </c>
      <c r="AC28">
        <v>120.1</v>
      </c>
      <c r="AD28">
        <v>111</v>
      </c>
      <c r="AE28">
        <v>114.7</v>
      </c>
      <c r="AF28">
        <v>120.2</v>
      </c>
    </row>
    <row r="29" spans="1:32">
      <c r="A29" t="s">
        <v>35</v>
      </c>
      <c r="B29">
        <v>2015</v>
      </c>
      <c r="C29" t="s">
        <v>39</v>
      </c>
      <c r="D29">
        <v>4</v>
      </c>
      <c r="E29" s="1">
        <v>42095</v>
      </c>
      <c r="F29">
        <v>123.5</v>
      </c>
      <c r="G29">
        <v>126.4</v>
      </c>
      <c r="H29">
        <v>114.4</v>
      </c>
      <c r="I29">
        <v>126.6</v>
      </c>
      <c r="J29">
        <v>109.2</v>
      </c>
      <c r="K29">
        <v>132.5</v>
      </c>
      <c r="L29">
        <v>128.6</v>
      </c>
      <c r="M29">
        <v>124.8</v>
      </c>
      <c r="N29">
        <v>95.7</v>
      </c>
      <c r="O29">
        <v>122.4</v>
      </c>
      <c r="P29">
        <v>118.5</v>
      </c>
      <c r="Q29">
        <v>129.1</v>
      </c>
      <c r="R29">
        <v>124</v>
      </c>
      <c r="S29">
        <v>126.9</v>
      </c>
      <c r="T29">
        <v>124.7</v>
      </c>
      <c r="U29">
        <v>120.8</v>
      </c>
      <c r="V29">
        <v>124.1</v>
      </c>
      <c r="W29">
        <v>119.2</v>
      </c>
      <c r="X29">
        <v>118.7</v>
      </c>
      <c r="Y29">
        <v>119.7</v>
      </c>
      <c r="Z29">
        <v>117.1</v>
      </c>
      <c r="AA29">
        <v>110.1</v>
      </c>
      <c r="AB29">
        <v>115.9</v>
      </c>
      <c r="AC29">
        <v>121</v>
      </c>
      <c r="AD29">
        <v>111.7</v>
      </c>
      <c r="AE29">
        <v>115.1</v>
      </c>
      <c r="AF29">
        <v>120.7</v>
      </c>
    </row>
    <row r="30" spans="1:32">
      <c r="A30" t="s">
        <v>35</v>
      </c>
      <c r="B30">
        <v>2015</v>
      </c>
      <c r="C30" t="s">
        <v>41</v>
      </c>
      <c r="D30">
        <v>5</v>
      </c>
      <c r="E30" s="1">
        <v>42125</v>
      </c>
      <c r="F30">
        <v>123.6</v>
      </c>
      <c r="G30">
        <v>128</v>
      </c>
      <c r="H30">
        <v>115</v>
      </c>
      <c r="I30">
        <v>127.3</v>
      </c>
      <c r="J30">
        <v>109.8</v>
      </c>
      <c r="K30">
        <v>132.6</v>
      </c>
      <c r="L30">
        <v>130.9</v>
      </c>
      <c r="M30">
        <v>130.5</v>
      </c>
      <c r="N30">
        <v>95.3</v>
      </c>
      <c r="O30">
        <v>123.4</v>
      </c>
      <c r="P30">
        <v>119.2</v>
      </c>
      <c r="Q30">
        <v>129.80000000000001</v>
      </c>
      <c r="R30">
        <v>125</v>
      </c>
      <c r="S30">
        <v>127.9</v>
      </c>
      <c r="T30">
        <v>125.4</v>
      </c>
      <c r="U30">
        <v>121.3</v>
      </c>
      <c r="V30">
        <v>124.7</v>
      </c>
      <c r="W30">
        <v>119.6</v>
      </c>
      <c r="X30">
        <v>119.2</v>
      </c>
      <c r="Y30">
        <v>120.2</v>
      </c>
      <c r="Z30">
        <v>117.7</v>
      </c>
      <c r="AA30">
        <v>112</v>
      </c>
      <c r="AB30">
        <v>116.3</v>
      </c>
      <c r="AC30">
        <v>121.4</v>
      </c>
      <c r="AD30">
        <v>112.3</v>
      </c>
      <c r="AE30">
        <v>116.1</v>
      </c>
      <c r="AF30">
        <v>121.6</v>
      </c>
    </row>
    <row r="31" spans="1:32">
      <c r="A31" t="s">
        <v>35</v>
      </c>
      <c r="B31">
        <v>2015</v>
      </c>
      <c r="C31" t="s">
        <v>42</v>
      </c>
      <c r="D31">
        <v>6</v>
      </c>
      <c r="E31" s="1">
        <v>42156</v>
      </c>
      <c r="F31">
        <v>123.9</v>
      </c>
      <c r="G31">
        <v>131.80000000000001</v>
      </c>
      <c r="H31">
        <v>121.6</v>
      </c>
      <c r="I31">
        <v>128.19999999999999</v>
      </c>
      <c r="J31">
        <v>111.1</v>
      </c>
      <c r="K31">
        <v>132.80000000000001</v>
      </c>
      <c r="L31">
        <v>139.1</v>
      </c>
      <c r="M31">
        <v>137.4</v>
      </c>
      <c r="N31">
        <v>94.1</v>
      </c>
      <c r="O31">
        <v>125.5</v>
      </c>
      <c r="P31">
        <v>119.8</v>
      </c>
      <c r="Q31">
        <v>130.9</v>
      </c>
      <c r="R31">
        <v>127.3</v>
      </c>
      <c r="S31">
        <v>129.19999999999999</v>
      </c>
      <c r="T31">
        <v>126.4</v>
      </c>
      <c r="U31">
        <v>122</v>
      </c>
      <c r="V31">
        <v>125.7</v>
      </c>
      <c r="W31">
        <v>119</v>
      </c>
      <c r="X31">
        <v>119.8</v>
      </c>
      <c r="Y31">
        <v>121.1</v>
      </c>
      <c r="Z31">
        <v>118.5</v>
      </c>
      <c r="AA31">
        <v>112.9</v>
      </c>
      <c r="AB31">
        <v>116.9</v>
      </c>
      <c r="AC31">
        <v>123.1</v>
      </c>
      <c r="AD31">
        <v>112.8</v>
      </c>
      <c r="AE31">
        <v>117</v>
      </c>
      <c r="AF31">
        <v>123</v>
      </c>
    </row>
    <row r="32" spans="1:32">
      <c r="A32" t="s">
        <v>35</v>
      </c>
      <c r="B32">
        <v>2015</v>
      </c>
      <c r="C32" t="s">
        <v>44</v>
      </c>
      <c r="D32">
        <v>7</v>
      </c>
      <c r="E32" s="1">
        <v>42186</v>
      </c>
      <c r="F32">
        <v>123.7</v>
      </c>
      <c r="G32">
        <v>132.5</v>
      </c>
      <c r="H32">
        <v>121</v>
      </c>
      <c r="I32">
        <v>128.30000000000001</v>
      </c>
      <c r="J32">
        <v>110.9</v>
      </c>
      <c r="K32">
        <v>133.1</v>
      </c>
      <c r="L32">
        <v>145.1</v>
      </c>
      <c r="M32">
        <v>139.1</v>
      </c>
      <c r="N32">
        <v>91.3</v>
      </c>
      <c r="O32">
        <v>126.1</v>
      </c>
      <c r="P32">
        <v>119.9</v>
      </c>
      <c r="Q32">
        <v>131.4</v>
      </c>
      <c r="R32">
        <v>128.19999999999999</v>
      </c>
      <c r="S32">
        <v>130.4</v>
      </c>
      <c r="T32">
        <v>126.7</v>
      </c>
      <c r="U32">
        <v>122.3</v>
      </c>
      <c r="V32">
        <v>126.1</v>
      </c>
      <c r="W32">
        <v>119.9</v>
      </c>
      <c r="X32">
        <v>120.1</v>
      </c>
      <c r="Y32">
        <v>121.3</v>
      </c>
      <c r="Z32">
        <v>119</v>
      </c>
      <c r="AA32">
        <v>112.7</v>
      </c>
      <c r="AB32">
        <v>117.2</v>
      </c>
      <c r="AC32">
        <v>124.4</v>
      </c>
      <c r="AD32">
        <v>112.3</v>
      </c>
      <c r="AE32">
        <v>117.2</v>
      </c>
      <c r="AF32">
        <v>123.6</v>
      </c>
    </row>
    <row r="33" spans="1:32">
      <c r="A33" t="s">
        <v>35</v>
      </c>
      <c r="B33">
        <v>2015</v>
      </c>
      <c r="C33" t="s">
        <v>46</v>
      </c>
      <c r="D33">
        <v>8</v>
      </c>
      <c r="E33" s="1">
        <v>42217</v>
      </c>
      <c r="F33">
        <v>124.2</v>
      </c>
      <c r="G33">
        <v>131.4</v>
      </c>
      <c r="H33">
        <v>120.1</v>
      </c>
      <c r="I33">
        <v>128.5</v>
      </c>
      <c r="J33">
        <v>111.4</v>
      </c>
      <c r="K33">
        <v>132.30000000000001</v>
      </c>
      <c r="L33">
        <v>157.6</v>
      </c>
      <c r="M33">
        <v>144</v>
      </c>
      <c r="N33">
        <v>90.5</v>
      </c>
      <c r="O33">
        <v>126.8</v>
      </c>
      <c r="P33">
        <v>120.4</v>
      </c>
      <c r="Q33">
        <v>132.1</v>
      </c>
      <c r="R33">
        <v>130.30000000000001</v>
      </c>
      <c r="S33">
        <v>131.19999999999999</v>
      </c>
      <c r="T33">
        <v>127.2</v>
      </c>
      <c r="U33">
        <v>122.9</v>
      </c>
      <c r="V33">
        <v>126.6</v>
      </c>
      <c r="W33">
        <v>120.9</v>
      </c>
      <c r="X33">
        <v>120.6</v>
      </c>
      <c r="Y33">
        <v>122</v>
      </c>
      <c r="Z33">
        <v>119.4</v>
      </c>
      <c r="AA33">
        <v>111.7</v>
      </c>
      <c r="AB33">
        <v>117.8</v>
      </c>
      <c r="AC33">
        <v>125.1</v>
      </c>
      <c r="AD33">
        <v>112.3</v>
      </c>
      <c r="AE33">
        <v>117.2</v>
      </c>
      <c r="AF33">
        <v>124.8</v>
      </c>
    </row>
    <row r="34" spans="1:32">
      <c r="A34" t="s">
        <v>35</v>
      </c>
      <c r="B34">
        <v>2015</v>
      </c>
      <c r="C34" t="s">
        <v>48</v>
      </c>
      <c r="D34">
        <v>9</v>
      </c>
      <c r="E34" s="1">
        <v>42248</v>
      </c>
      <c r="F34">
        <v>124.6</v>
      </c>
      <c r="G34">
        <v>130.4</v>
      </c>
      <c r="H34">
        <v>118.7</v>
      </c>
      <c r="I34">
        <v>128.9</v>
      </c>
      <c r="J34">
        <v>111.9</v>
      </c>
      <c r="K34">
        <v>128.4</v>
      </c>
      <c r="L34">
        <v>162.19999999999999</v>
      </c>
      <c r="M34">
        <v>150</v>
      </c>
      <c r="N34">
        <v>90.4</v>
      </c>
      <c r="O34">
        <v>128.4</v>
      </c>
      <c r="P34">
        <v>120.7</v>
      </c>
      <c r="Q34">
        <v>132.5</v>
      </c>
      <c r="R34">
        <v>131.19999999999999</v>
      </c>
      <c r="S34">
        <v>132</v>
      </c>
      <c r="T34">
        <v>127.9</v>
      </c>
      <c r="U34">
        <v>123.4</v>
      </c>
      <c r="V34">
        <v>127.2</v>
      </c>
      <c r="W34">
        <v>121.6</v>
      </c>
      <c r="X34">
        <v>120.4</v>
      </c>
      <c r="Y34">
        <v>122.6</v>
      </c>
      <c r="Z34">
        <v>119.8</v>
      </c>
      <c r="AA34">
        <v>111.3</v>
      </c>
      <c r="AB34">
        <v>118.3</v>
      </c>
      <c r="AC34">
        <v>125.7</v>
      </c>
      <c r="AD34">
        <v>113.4</v>
      </c>
      <c r="AE34">
        <v>117.5</v>
      </c>
      <c r="AF34">
        <v>125.4</v>
      </c>
    </row>
    <row r="35" spans="1:32">
      <c r="A35" t="s">
        <v>35</v>
      </c>
      <c r="B35">
        <v>2015</v>
      </c>
      <c r="C35" t="s">
        <v>50</v>
      </c>
      <c r="D35">
        <v>10</v>
      </c>
      <c r="E35" s="1">
        <v>42278</v>
      </c>
      <c r="F35">
        <v>125</v>
      </c>
      <c r="G35">
        <v>129.80000000000001</v>
      </c>
      <c r="H35">
        <v>118.9</v>
      </c>
      <c r="I35">
        <v>129.1</v>
      </c>
      <c r="J35">
        <v>113.3</v>
      </c>
      <c r="K35">
        <v>129</v>
      </c>
      <c r="L35">
        <v>160.4</v>
      </c>
      <c r="M35">
        <v>165.3</v>
      </c>
      <c r="N35">
        <v>92.3</v>
      </c>
      <c r="O35">
        <v>129.69999999999999</v>
      </c>
      <c r="P35">
        <v>121.1</v>
      </c>
      <c r="Q35">
        <v>133</v>
      </c>
      <c r="R35">
        <v>132.1</v>
      </c>
      <c r="S35">
        <v>132.5</v>
      </c>
      <c r="T35">
        <v>128.5</v>
      </c>
      <c r="U35">
        <v>123.8</v>
      </c>
      <c r="V35">
        <v>127.8</v>
      </c>
      <c r="W35">
        <v>122.4</v>
      </c>
      <c r="X35">
        <v>120.8</v>
      </c>
      <c r="Y35">
        <v>123</v>
      </c>
      <c r="Z35">
        <v>120.4</v>
      </c>
      <c r="AA35">
        <v>111.4</v>
      </c>
      <c r="AB35">
        <v>118.7</v>
      </c>
      <c r="AC35">
        <v>125.9</v>
      </c>
      <c r="AD35">
        <v>113.9</v>
      </c>
      <c r="AE35">
        <v>117.9</v>
      </c>
      <c r="AF35">
        <v>126.1</v>
      </c>
    </row>
    <row r="36" spans="1:32">
      <c r="A36" t="s">
        <v>35</v>
      </c>
      <c r="B36">
        <v>2015</v>
      </c>
      <c r="C36" t="s">
        <v>53</v>
      </c>
      <c r="D36">
        <v>11</v>
      </c>
      <c r="E36" s="1">
        <v>42309</v>
      </c>
      <c r="F36">
        <v>125.4</v>
      </c>
      <c r="G36">
        <v>130.30000000000001</v>
      </c>
      <c r="H36">
        <v>121.6</v>
      </c>
      <c r="I36">
        <v>129.19999999999999</v>
      </c>
      <c r="J36">
        <v>114.9</v>
      </c>
      <c r="K36">
        <v>128.19999999999999</v>
      </c>
      <c r="L36">
        <v>158.4</v>
      </c>
      <c r="M36">
        <v>171.2</v>
      </c>
      <c r="N36">
        <v>93.3</v>
      </c>
      <c r="O36">
        <v>131.19999999999999</v>
      </c>
      <c r="P36">
        <v>121.7</v>
      </c>
      <c r="Q36">
        <v>134</v>
      </c>
      <c r="R36">
        <v>132.69999999999999</v>
      </c>
      <c r="S36">
        <v>133.6</v>
      </c>
      <c r="T36">
        <v>129.30000000000001</v>
      </c>
      <c r="U36">
        <v>124.5</v>
      </c>
      <c r="V36">
        <v>128.6</v>
      </c>
      <c r="W36">
        <v>122.9</v>
      </c>
      <c r="X36">
        <v>121.6</v>
      </c>
      <c r="Y36">
        <v>123.4</v>
      </c>
      <c r="Z36">
        <v>120.9</v>
      </c>
      <c r="AA36">
        <v>111.5</v>
      </c>
      <c r="AB36">
        <v>119.2</v>
      </c>
      <c r="AC36">
        <v>126.3</v>
      </c>
      <c r="AD36">
        <v>113.8</v>
      </c>
      <c r="AE36">
        <v>118.1</v>
      </c>
      <c r="AF36">
        <v>126.6</v>
      </c>
    </row>
    <row r="37" spans="1:32">
      <c r="A37" t="s">
        <v>35</v>
      </c>
      <c r="B37">
        <v>2015</v>
      </c>
      <c r="C37" t="s">
        <v>55</v>
      </c>
      <c r="D37">
        <v>12</v>
      </c>
      <c r="E37" s="1">
        <v>42339</v>
      </c>
      <c r="F37">
        <v>125.7</v>
      </c>
      <c r="G37">
        <v>131.4</v>
      </c>
      <c r="H37">
        <v>124.8</v>
      </c>
      <c r="I37">
        <v>129.4</v>
      </c>
      <c r="J37">
        <v>115.3</v>
      </c>
      <c r="K37">
        <v>126.6</v>
      </c>
      <c r="L37">
        <v>146.69999999999999</v>
      </c>
      <c r="M37">
        <v>171.5</v>
      </c>
      <c r="N37">
        <v>94.5</v>
      </c>
      <c r="O37">
        <v>132.1</v>
      </c>
      <c r="P37">
        <v>122</v>
      </c>
      <c r="Q37">
        <v>134.69999999999999</v>
      </c>
      <c r="R37">
        <v>131.4</v>
      </c>
      <c r="S37">
        <v>134.5</v>
      </c>
      <c r="T37">
        <v>129.69999999999999</v>
      </c>
      <c r="U37">
        <v>124.8</v>
      </c>
      <c r="V37">
        <v>129</v>
      </c>
      <c r="W37">
        <v>122.4</v>
      </c>
      <c r="X37">
        <v>122</v>
      </c>
      <c r="Y37">
        <v>123.6</v>
      </c>
      <c r="Z37">
        <v>121.4</v>
      </c>
      <c r="AA37">
        <v>111.5</v>
      </c>
      <c r="AB37">
        <v>119.6</v>
      </c>
      <c r="AC37">
        <v>126.2</v>
      </c>
      <c r="AD37">
        <v>113.7</v>
      </c>
      <c r="AE37">
        <v>118.3</v>
      </c>
      <c r="AF37">
        <v>126.1</v>
      </c>
    </row>
    <row r="38" spans="1:32">
      <c r="A38" t="s">
        <v>35</v>
      </c>
      <c r="B38">
        <v>2016</v>
      </c>
      <c r="C38" t="s">
        <v>31</v>
      </c>
      <c r="D38">
        <v>1</v>
      </c>
      <c r="E38" s="1">
        <v>42370</v>
      </c>
      <c r="F38">
        <v>126.1</v>
      </c>
      <c r="G38">
        <v>134.1</v>
      </c>
      <c r="H38">
        <v>128.6</v>
      </c>
      <c r="I38">
        <v>129.9</v>
      </c>
      <c r="J38">
        <v>115.5</v>
      </c>
      <c r="K38">
        <v>125.7</v>
      </c>
      <c r="L38">
        <v>141.5</v>
      </c>
      <c r="M38">
        <v>170.7</v>
      </c>
      <c r="N38">
        <v>97.4</v>
      </c>
      <c r="O38">
        <v>132.9</v>
      </c>
      <c r="P38">
        <v>122.7</v>
      </c>
      <c r="Q38">
        <v>135.30000000000001</v>
      </c>
      <c r="R38">
        <v>131.30000000000001</v>
      </c>
      <c r="S38">
        <v>135.19999999999999</v>
      </c>
      <c r="T38">
        <v>130.30000000000001</v>
      </c>
      <c r="U38">
        <v>125.1</v>
      </c>
      <c r="V38">
        <v>129.5</v>
      </c>
      <c r="W38">
        <v>123.4</v>
      </c>
      <c r="X38">
        <v>122.7</v>
      </c>
      <c r="Y38">
        <v>124.2</v>
      </c>
      <c r="Z38">
        <v>122</v>
      </c>
      <c r="AA38">
        <v>111.1</v>
      </c>
      <c r="AB38">
        <v>119.8</v>
      </c>
      <c r="AC38">
        <v>126.3</v>
      </c>
      <c r="AD38">
        <v>114.5</v>
      </c>
      <c r="AE38">
        <v>118.5</v>
      </c>
      <c r="AF38">
        <v>126.3</v>
      </c>
    </row>
    <row r="39" spans="1:32">
      <c r="A39" t="s">
        <v>35</v>
      </c>
      <c r="B39">
        <v>2016</v>
      </c>
      <c r="C39" t="s">
        <v>36</v>
      </c>
      <c r="D39">
        <v>2</v>
      </c>
      <c r="E39" s="1">
        <v>42401</v>
      </c>
      <c r="F39">
        <v>126.4</v>
      </c>
      <c r="G39">
        <v>134.19999999999999</v>
      </c>
      <c r="H39">
        <v>128.69999999999999</v>
      </c>
      <c r="I39">
        <v>130.30000000000001</v>
      </c>
      <c r="J39">
        <v>114.8</v>
      </c>
      <c r="K39">
        <v>124.9</v>
      </c>
      <c r="L39">
        <v>130.30000000000001</v>
      </c>
      <c r="M39">
        <v>167.4</v>
      </c>
      <c r="N39">
        <v>98.8</v>
      </c>
      <c r="O39">
        <v>133.6</v>
      </c>
      <c r="P39">
        <v>123</v>
      </c>
      <c r="Q39">
        <v>135.80000000000001</v>
      </c>
      <c r="R39">
        <v>129.9</v>
      </c>
      <c r="S39">
        <v>135.9</v>
      </c>
      <c r="T39">
        <v>130.9</v>
      </c>
      <c r="U39">
        <v>125.8</v>
      </c>
      <c r="V39">
        <v>130.19999999999999</v>
      </c>
      <c r="W39">
        <v>124.4</v>
      </c>
      <c r="X39">
        <v>123.1</v>
      </c>
      <c r="Y39">
        <v>124.6</v>
      </c>
      <c r="Z39">
        <v>122.5</v>
      </c>
      <c r="AA39">
        <v>111.4</v>
      </c>
      <c r="AB39">
        <v>120.3</v>
      </c>
      <c r="AC39">
        <v>126.6</v>
      </c>
      <c r="AD39">
        <v>116.6</v>
      </c>
      <c r="AE39">
        <v>119.1</v>
      </c>
      <c r="AF39">
        <v>126</v>
      </c>
    </row>
    <row r="40" spans="1:32">
      <c r="A40" t="s">
        <v>35</v>
      </c>
      <c r="B40">
        <v>2016</v>
      </c>
      <c r="C40" t="s">
        <v>38</v>
      </c>
      <c r="D40">
        <v>3</v>
      </c>
      <c r="E40" s="1">
        <v>42430</v>
      </c>
      <c r="F40">
        <v>126.5</v>
      </c>
      <c r="G40">
        <v>135.1</v>
      </c>
      <c r="H40">
        <v>124.6</v>
      </c>
      <c r="I40">
        <v>130.19999999999999</v>
      </c>
      <c r="J40">
        <v>114.5</v>
      </c>
      <c r="K40">
        <v>126.2</v>
      </c>
      <c r="L40">
        <v>129.80000000000001</v>
      </c>
      <c r="M40">
        <v>164.3</v>
      </c>
      <c r="N40">
        <v>100.9</v>
      </c>
      <c r="O40">
        <v>133.9</v>
      </c>
      <c r="P40">
        <v>123.1</v>
      </c>
      <c r="Q40">
        <v>136.30000000000001</v>
      </c>
      <c r="R40">
        <v>129.80000000000001</v>
      </c>
      <c r="S40">
        <v>136.5</v>
      </c>
      <c r="T40">
        <v>131.30000000000001</v>
      </c>
      <c r="U40">
        <v>126.1</v>
      </c>
      <c r="V40">
        <v>130.5</v>
      </c>
      <c r="W40">
        <v>124.9</v>
      </c>
      <c r="X40">
        <v>122.4</v>
      </c>
      <c r="Y40">
        <v>125.1</v>
      </c>
      <c r="Z40">
        <v>122.9</v>
      </c>
      <c r="AA40">
        <v>110.9</v>
      </c>
      <c r="AB40">
        <v>120.6</v>
      </c>
      <c r="AC40">
        <v>126.9</v>
      </c>
      <c r="AD40">
        <v>117.3</v>
      </c>
      <c r="AE40">
        <v>119.3</v>
      </c>
      <c r="AF40">
        <v>126</v>
      </c>
    </row>
    <row r="41" spans="1:32">
      <c r="A41" t="s">
        <v>35</v>
      </c>
      <c r="B41">
        <v>2016</v>
      </c>
      <c r="C41" t="s">
        <v>39</v>
      </c>
      <c r="D41">
        <v>4</v>
      </c>
      <c r="E41" s="1">
        <v>42461</v>
      </c>
      <c r="F41">
        <v>126.6</v>
      </c>
      <c r="G41">
        <v>136.80000000000001</v>
      </c>
      <c r="H41">
        <v>122</v>
      </c>
      <c r="I41">
        <v>130.9</v>
      </c>
      <c r="J41">
        <v>114.8</v>
      </c>
      <c r="K41">
        <v>134.80000000000001</v>
      </c>
      <c r="L41">
        <v>135</v>
      </c>
      <c r="M41">
        <v>167.5</v>
      </c>
      <c r="N41">
        <v>106.4</v>
      </c>
      <c r="O41">
        <v>134.4</v>
      </c>
      <c r="P41">
        <v>123.6</v>
      </c>
      <c r="Q41">
        <v>136.69999999999999</v>
      </c>
      <c r="R41">
        <v>131.80000000000001</v>
      </c>
      <c r="S41">
        <v>137.1</v>
      </c>
      <c r="T41">
        <v>131.80000000000001</v>
      </c>
      <c r="U41">
        <v>126.4</v>
      </c>
      <c r="V41">
        <v>131</v>
      </c>
      <c r="W41">
        <v>125.6</v>
      </c>
      <c r="X41">
        <v>122.3</v>
      </c>
      <c r="Y41">
        <v>125.5</v>
      </c>
      <c r="Z41">
        <v>123.2</v>
      </c>
      <c r="AA41">
        <v>112.1</v>
      </c>
      <c r="AB41">
        <v>121.1</v>
      </c>
      <c r="AC41">
        <v>127.7</v>
      </c>
      <c r="AD41">
        <v>118.1</v>
      </c>
      <c r="AE41">
        <v>120</v>
      </c>
      <c r="AF41">
        <v>127.3</v>
      </c>
    </row>
    <row r="42" spans="1:32">
      <c r="A42" t="s">
        <v>35</v>
      </c>
      <c r="B42">
        <v>2016</v>
      </c>
      <c r="C42" t="s">
        <v>41</v>
      </c>
      <c r="D42">
        <v>5</v>
      </c>
      <c r="E42" s="1">
        <v>42491</v>
      </c>
      <c r="F42">
        <v>126.8</v>
      </c>
      <c r="G42">
        <v>139.1</v>
      </c>
      <c r="H42">
        <v>125.4</v>
      </c>
      <c r="I42">
        <v>131.69999999999999</v>
      </c>
      <c r="J42">
        <v>115</v>
      </c>
      <c r="K42">
        <v>136</v>
      </c>
      <c r="L42">
        <v>145.1</v>
      </c>
      <c r="M42">
        <v>171.7</v>
      </c>
      <c r="N42">
        <v>108.7</v>
      </c>
      <c r="O42">
        <v>135.30000000000001</v>
      </c>
      <c r="P42">
        <v>124.2</v>
      </c>
      <c r="Q42">
        <v>137.4</v>
      </c>
      <c r="R42">
        <v>134</v>
      </c>
      <c r="S42">
        <v>137.69999999999999</v>
      </c>
      <c r="T42">
        <v>132.19999999999999</v>
      </c>
      <c r="U42">
        <v>126.8</v>
      </c>
      <c r="V42">
        <v>131.4</v>
      </c>
      <c r="W42">
        <v>126</v>
      </c>
      <c r="X42">
        <v>122.7</v>
      </c>
      <c r="Y42">
        <v>126</v>
      </c>
      <c r="Z42">
        <v>123.7</v>
      </c>
      <c r="AA42">
        <v>112.8</v>
      </c>
      <c r="AB42">
        <v>121.5</v>
      </c>
      <c r="AC42">
        <v>128.5</v>
      </c>
      <c r="AD42">
        <v>119.2</v>
      </c>
      <c r="AE42">
        <v>120.7</v>
      </c>
      <c r="AF42">
        <v>128.6</v>
      </c>
    </row>
    <row r="43" spans="1:32">
      <c r="A43" t="s">
        <v>35</v>
      </c>
      <c r="B43">
        <v>2016</v>
      </c>
      <c r="C43" t="s">
        <v>42</v>
      </c>
      <c r="D43">
        <v>6</v>
      </c>
      <c r="E43" s="1">
        <v>42522</v>
      </c>
      <c r="F43">
        <v>127.7</v>
      </c>
      <c r="G43">
        <v>140.5</v>
      </c>
      <c r="H43">
        <v>128.30000000000001</v>
      </c>
      <c r="I43">
        <v>132.6</v>
      </c>
      <c r="J43">
        <v>115.5</v>
      </c>
      <c r="K43">
        <v>136.5</v>
      </c>
      <c r="L43">
        <v>159.69999999999999</v>
      </c>
      <c r="M43">
        <v>174.3</v>
      </c>
      <c r="N43">
        <v>109.9</v>
      </c>
      <c r="O43">
        <v>136.30000000000001</v>
      </c>
      <c r="P43">
        <v>124.4</v>
      </c>
      <c r="Q43">
        <v>138.1</v>
      </c>
      <c r="R43">
        <v>136.80000000000001</v>
      </c>
      <c r="S43">
        <v>138.69999999999999</v>
      </c>
      <c r="T43">
        <v>132.9</v>
      </c>
      <c r="U43">
        <v>127.2</v>
      </c>
      <c r="V43">
        <v>132</v>
      </c>
      <c r="W43">
        <v>125.5</v>
      </c>
      <c r="X43">
        <v>123.3</v>
      </c>
      <c r="Y43">
        <v>126.4</v>
      </c>
      <c r="Z43">
        <v>124.1</v>
      </c>
      <c r="AA43">
        <v>114.2</v>
      </c>
      <c r="AB43">
        <v>121.7</v>
      </c>
      <c r="AC43">
        <v>129.69999999999999</v>
      </c>
      <c r="AD43">
        <v>119.4</v>
      </c>
      <c r="AE43">
        <v>121.5</v>
      </c>
      <c r="AF43">
        <v>130.1</v>
      </c>
    </row>
    <row r="44" spans="1:32">
      <c r="A44" t="s">
        <v>35</v>
      </c>
      <c r="B44">
        <v>2016</v>
      </c>
      <c r="C44" t="s">
        <v>44</v>
      </c>
      <c r="D44">
        <v>7</v>
      </c>
      <c r="E44" s="1">
        <v>42552</v>
      </c>
      <c r="F44">
        <v>128.5</v>
      </c>
      <c r="G44">
        <v>141.19999999999999</v>
      </c>
      <c r="H44">
        <v>132.30000000000001</v>
      </c>
      <c r="I44">
        <v>133.5</v>
      </c>
      <c r="J44">
        <v>116.4</v>
      </c>
      <c r="K44">
        <v>137.80000000000001</v>
      </c>
      <c r="L44">
        <v>165.4</v>
      </c>
      <c r="M44">
        <v>177.4</v>
      </c>
      <c r="N44">
        <v>111.3</v>
      </c>
      <c r="O44">
        <v>137.5</v>
      </c>
      <c r="P44">
        <v>125</v>
      </c>
      <c r="Q44">
        <v>138.80000000000001</v>
      </c>
      <c r="R44">
        <v>138.4</v>
      </c>
      <c r="S44">
        <v>139.30000000000001</v>
      </c>
      <c r="T44">
        <v>133.5</v>
      </c>
      <c r="U44">
        <v>127.6</v>
      </c>
      <c r="V44">
        <v>132.69999999999999</v>
      </c>
      <c r="W44">
        <v>126.4</v>
      </c>
      <c r="X44">
        <v>123.4</v>
      </c>
      <c r="Y44">
        <v>126.9</v>
      </c>
      <c r="Z44">
        <v>124.5</v>
      </c>
      <c r="AA44">
        <v>113.9</v>
      </c>
      <c r="AB44">
        <v>122.4</v>
      </c>
      <c r="AC44">
        <v>130.80000000000001</v>
      </c>
      <c r="AD44">
        <v>120.5</v>
      </c>
      <c r="AE44">
        <v>121.9</v>
      </c>
      <c r="AF44">
        <v>131.1</v>
      </c>
    </row>
    <row r="45" spans="1:32">
      <c r="A45" t="s">
        <v>35</v>
      </c>
      <c r="B45">
        <v>2016</v>
      </c>
      <c r="C45" t="s">
        <v>46</v>
      </c>
      <c r="D45">
        <v>8</v>
      </c>
      <c r="E45" s="1">
        <v>42583</v>
      </c>
      <c r="F45">
        <v>129.30000000000001</v>
      </c>
      <c r="G45">
        <v>139.30000000000001</v>
      </c>
      <c r="H45">
        <v>131.6</v>
      </c>
      <c r="I45">
        <v>134.1</v>
      </c>
      <c r="J45">
        <v>116.9</v>
      </c>
      <c r="K45">
        <v>138.1</v>
      </c>
      <c r="L45">
        <v>159.1</v>
      </c>
      <c r="M45">
        <v>175.6</v>
      </c>
      <c r="N45">
        <v>112.9</v>
      </c>
      <c r="O45">
        <v>138.1</v>
      </c>
      <c r="P45">
        <v>125.5</v>
      </c>
      <c r="Q45">
        <v>139.5</v>
      </c>
      <c r="R45">
        <v>137.9</v>
      </c>
      <c r="S45">
        <v>140.19999999999999</v>
      </c>
      <c r="T45">
        <v>134.1</v>
      </c>
      <c r="U45">
        <v>128.19999999999999</v>
      </c>
      <c r="V45">
        <v>133.19999999999999</v>
      </c>
      <c r="W45">
        <v>127.3</v>
      </c>
      <c r="X45">
        <v>123.6</v>
      </c>
      <c r="Y45">
        <v>127.4</v>
      </c>
      <c r="Z45">
        <v>124.8</v>
      </c>
      <c r="AA45">
        <v>113.1</v>
      </c>
      <c r="AB45">
        <v>122.7</v>
      </c>
      <c r="AC45">
        <v>131.69999999999999</v>
      </c>
      <c r="AD45">
        <v>121.5</v>
      </c>
      <c r="AE45">
        <v>122.1</v>
      </c>
      <c r="AF45">
        <v>131.1</v>
      </c>
    </row>
    <row r="46" spans="1:32">
      <c r="A46" t="s">
        <v>35</v>
      </c>
      <c r="B46">
        <v>2016</v>
      </c>
      <c r="C46" t="s">
        <v>48</v>
      </c>
      <c r="D46">
        <v>9</v>
      </c>
      <c r="E46" s="1">
        <v>42614</v>
      </c>
      <c r="F46">
        <v>129.9</v>
      </c>
      <c r="G46">
        <v>138</v>
      </c>
      <c r="H46">
        <v>130.5</v>
      </c>
      <c r="I46">
        <v>134.4</v>
      </c>
      <c r="J46">
        <v>117.2</v>
      </c>
      <c r="K46">
        <v>136.1</v>
      </c>
      <c r="L46">
        <v>150.69999999999999</v>
      </c>
      <c r="M46">
        <v>171.5</v>
      </c>
      <c r="N46">
        <v>113.8</v>
      </c>
      <c r="O46">
        <v>138.80000000000001</v>
      </c>
      <c r="P46">
        <v>126</v>
      </c>
      <c r="Q46">
        <v>140.19999999999999</v>
      </c>
      <c r="R46">
        <v>136.6</v>
      </c>
      <c r="S46">
        <v>141</v>
      </c>
      <c r="T46">
        <v>134.6</v>
      </c>
      <c r="U46">
        <v>128.6</v>
      </c>
      <c r="V46">
        <v>133.80000000000001</v>
      </c>
      <c r="W46">
        <v>127.9</v>
      </c>
      <c r="X46">
        <v>124.1</v>
      </c>
      <c r="Y46">
        <v>127.9</v>
      </c>
      <c r="Z46">
        <v>125.4</v>
      </c>
      <c r="AA46">
        <v>114.3</v>
      </c>
      <c r="AB46">
        <v>122.9</v>
      </c>
      <c r="AC46">
        <v>131.80000000000001</v>
      </c>
      <c r="AD46">
        <v>122.1</v>
      </c>
      <c r="AE46">
        <v>122.8</v>
      </c>
      <c r="AF46">
        <v>130.9</v>
      </c>
    </row>
    <row r="47" spans="1:32">
      <c r="A47" t="s">
        <v>35</v>
      </c>
      <c r="B47">
        <v>2016</v>
      </c>
      <c r="C47" t="s">
        <v>50</v>
      </c>
      <c r="D47">
        <v>10</v>
      </c>
      <c r="E47" s="1">
        <v>42644</v>
      </c>
      <c r="F47">
        <v>130.5</v>
      </c>
      <c r="G47">
        <v>137.9</v>
      </c>
      <c r="H47">
        <v>130.19999999999999</v>
      </c>
      <c r="I47">
        <v>134.80000000000001</v>
      </c>
      <c r="J47">
        <v>117.8</v>
      </c>
      <c r="K47">
        <v>134.69999999999999</v>
      </c>
      <c r="L47">
        <v>151.19999999999999</v>
      </c>
      <c r="M47">
        <v>172.1</v>
      </c>
      <c r="N47">
        <v>114.1</v>
      </c>
      <c r="O47">
        <v>139.30000000000001</v>
      </c>
      <c r="P47">
        <v>126.1</v>
      </c>
      <c r="Q47">
        <v>141.1</v>
      </c>
      <c r="R47">
        <v>137</v>
      </c>
      <c r="S47">
        <v>141.80000000000001</v>
      </c>
      <c r="T47">
        <v>135.5</v>
      </c>
      <c r="U47">
        <v>129.1</v>
      </c>
      <c r="V47">
        <v>134.5</v>
      </c>
      <c r="W47">
        <v>128.69999999999999</v>
      </c>
      <c r="X47">
        <v>124.3</v>
      </c>
      <c r="Y47">
        <v>128.4</v>
      </c>
      <c r="Z47">
        <v>126.1</v>
      </c>
      <c r="AA47">
        <v>115.2</v>
      </c>
      <c r="AB47">
        <v>123.5</v>
      </c>
      <c r="AC47">
        <v>132.4</v>
      </c>
      <c r="AD47">
        <v>122.1</v>
      </c>
      <c r="AE47">
        <v>123.4</v>
      </c>
      <c r="AF47">
        <v>131.4</v>
      </c>
    </row>
    <row r="48" spans="1:32">
      <c r="A48" t="s">
        <v>35</v>
      </c>
      <c r="B48">
        <v>2016</v>
      </c>
      <c r="C48" t="s">
        <v>53</v>
      </c>
      <c r="D48">
        <v>11</v>
      </c>
      <c r="E48" s="1">
        <v>42675</v>
      </c>
      <c r="F48">
        <v>131.4</v>
      </c>
      <c r="G48">
        <v>137.80000000000001</v>
      </c>
      <c r="H48">
        <v>132</v>
      </c>
      <c r="I48">
        <v>135</v>
      </c>
      <c r="J48">
        <v>118</v>
      </c>
      <c r="K48">
        <v>134.1</v>
      </c>
      <c r="L48">
        <v>141.9</v>
      </c>
      <c r="M48">
        <v>171.7</v>
      </c>
      <c r="N48">
        <v>114.1</v>
      </c>
      <c r="O48">
        <v>139.69999999999999</v>
      </c>
      <c r="P48">
        <v>126.2</v>
      </c>
      <c r="Q48">
        <v>141.80000000000001</v>
      </c>
      <c r="R48">
        <v>136.1</v>
      </c>
      <c r="S48">
        <v>142</v>
      </c>
      <c r="T48">
        <v>135.80000000000001</v>
      </c>
      <c r="U48">
        <v>129.30000000000001</v>
      </c>
      <c r="V48">
        <v>135</v>
      </c>
      <c r="W48">
        <v>129.1</v>
      </c>
      <c r="X48">
        <v>125</v>
      </c>
      <c r="Y48">
        <v>128.6</v>
      </c>
      <c r="Z48">
        <v>126.4</v>
      </c>
      <c r="AA48">
        <v>115.7</v>
      </c>
      <c r="AB48">
        <v>124</v>
      </c>
      <c r="AC48">
        <v>132.80000000000001</v>
      </c>
      <c r="AD48">
        <v>122.6</v>
      </c>
      <c r="AE48">
        <v>123.8</v>
      </c>
      <c r="AF48">
        <v>131.19999999999999</v>
      </c>
    </row>
    <row r="49" spans="1:32">
      <c r="A49" t="s">
        <v>35</v>
      </c>
      <c r="B49">
        <v>2016</v>
      </c>
      <c r="C49" t="s">
        <v>55</v>
      </c>
      <c r="D49">
        <v>12</v>
      </c>
      <c r="E49" s="1">
        <v>42705</v>
      </c>
      <c r="F49">
        <v>132.30000000000001</v>
      </c>
      <c r="G49">
        <v>137.6</v>
      </c>
      <c r="H49">
        <v>132.9</v>
      </c>
      <c r="I49">
        <v>135.1</v>
      </c>
      <c r="J49">
        <v>118.6</v>
      </c>
      <c r="K49">
        <v>132.69999999999999</v>
      </c>
      <c r="L49">
        <v>125.3</v>
      </c>
      <c r="M49">
        <v>168.7</v>
      </c>
      <c r="N49">
        <v>114.4</v>
      </c>
      <c r="O49">
        <v>140.19999999999999</v>
      </c>
      <c r="P49">
        <v>126.6</v>
      </c>
      <c r="Q49">
        <v>142.30000000000001</v>
      </c>
      <c r="R49">
        <v>134</v>
      </c>
      <c r="S49">
        <v>143.1</v>
      </c>
      <c r="T49">
        <v>136.30000000000001</v>
      </c>
      <c r="U49">
        <v>129.80000000000001</v>
      </c>
      <c r="V49">
        <v>135.4</v>
      </c>
      <c r="W49">
        <v>128.5</v>
      </c>
      <c r="X49">
        <v>126.6</v>
      </c>
      <c r="Y49">
        <v>129.19999999999999</v>
      </c>
      <c r="Z49">
        <v>126.9</v>
      </c>
      <c r="AA49">
        <v>116</v>
      </c>
      <c r="AB49">
        <v>124.2</v>
      </c>
      <c r="AC49">
        <v>133.1</v>
      </c>
      <c r="AD49">
        <v>121.1</v>
      </c>
      <c r="AE49">
        <v>123.9</v>
      </c>
      <c r="AF49">
        <v>130.4</v>
      </c>
    </row>
    <row r="50" spans="1:32">
      <c r="A50" t="s">
        <v>35</v>
      </c>
      <c r="B50">
        <v>2017</v>
      </c>
      <c r="C50" t="s">
        <v>31</v>
      </c>
      <c r="D50">
        <v>1</v>
      </c>
      <c r="E50" s="1">
        <v>42736</v>
      </c>
      <c r="F50">
        <v>132.80000000000001</v>
      </c>
      <c r="G50">
        <v>138.19999999999999</v>
      </c>
      <c r="H50">
        <v>132.19999999999999</v>
      </c>
      <c r="I50">
        <v>135.4</v>
      </c>
      <c r="J50">
        <v>119.1</v>
      </c>
      <c r="K50">
        <v>133</v>
      </c>
      <c r="L50">
        <v>119.4</v>
      </c>
      <c r="M50">
        <v>159.5</v>
      </c>
      <c r="N50">
        <v>115.6</v>
      </c>
      <c r="O50">
        <v>139.6</v>
      </c>
      <c r="P50">
        <v>126.6</v>
      </c>
      <c r="Q50">
        <v>142.80000000000001</v>
      </c>
      <c r="R50">
        <v>133.1</v>
      </c>
      <c r="S50">
        <v>143.80000000000001</v>
      </c>
      <c r="T50">
        <v>136.6</v>
      </c>
      <c r="U50">
        <v>130.19999999999999</v>
      </c>
      <c r="V50">
        <v>135.6</v>
      </c>
      <c r="W50">
        <v>129.6</v>
      </c>
      <c r="X50">
        <v>126.8</v>
      </c>
      <c r="Y50">
        <v>129.4</v>
      </c>
      <c r="Z50">
        <v>127.1</v>
      </c>
      <c r="AA50">
        <v>117</v>
      </c>
      <c r="AB50">
        <v>124.2</v>
      </c>
      <c r="AC50">
        <v>133.30000000000001</v>
      </c>
      <c r="AD50">
        <v>121.7</v>
      </c>
      <c r="AE50">
        <v>124.4</v>
      </c>
      <c r="AF50">
        <v>130.30000000000001</v>
      </c>
    </row>
    <row r="51" spans="1:32">
      <c r="A51" t="s">
        <v>35</v>
      </c>
      <c r="B51">
        <v>2017</v>
      </c>
      <c r="C51" t="s">
        <v>36</v>
      </c>
      <c r="D51">
        <v>2</v>
      </c>
      <c r="E51" s="1">
        <v>42767</v>
      </c>
      <c r="F51">
        <v>133.1</v>
      </c>
      <c r="G51">
        <v>138.80000000000001</v>
      </c>
      <c r="H51">
        <v>129.30000000000001</v>
      </c>
      <c r="I51">
        <v>135.80000000000001</v>
      </c>
      <c r="J51">
        <v>119.2</v>
      </c>
      <c r="K51">
        <v>135.30000000000001</v>
      </c>
      <c r="L51">
        <v>119.5</v>
      </c>
      <c r="M51">
        <v>152.19999999999999</v>
      </c>
      <c r="N51">
        <v>117.3</v>
      </c>
      <c r="O51">
        <v>138.69999999999999</v>
      </c>
      <c r="P51">
        <v>126.9</v>
      </c>
      <c r="Q51">
        <v>143.19999999999999</v>
      </c>
      <c r="R51">
        <v>133</v>
      </c>
      <c r="S51">
        <v>144.4</v>
      </c>
      <c r="T51">
        <v>136.80000000000001</v>
      </c>
      <c r="U51">
        <v>130.30000000000001</v>
      </c>
      <c r="V51">
        <v>135.9</v>
      </c>
      <c r="W51">
        <v>130.5</v>
      </c>
      <c r="X51">
        <v>127.9</v>
      </c>
      <c r="Y51">
        <v>129.69999999999999</v>
      </c>
      <c r="Z51">
        <v>127.4</v>
      </c>
      <c r="AA51">
        <v>117.4</v>
      </c>
      <c r="AB51">
        <v>124.6</v>
      </c>
      <c r="AC51">
        <v>133.4</v>
      </c>
      <c r="AD51">
        <v>122.6</v>
      </c>
      <c r="AE51">
        <v>124.8</v>
      </c>
      <c r="AF51">
        <v>130.6</v>
      </c>
    </row>
    <row r="52" spans="1:32">
      <c r="A52" t="s">
        <v>35</v>
      </c>
      <c r="B52">
        <v>2017</v>
      </c>
      <c r="C52" t="s">
        <v>38</v>
      </c>
      <c r="D52">
        <v>3</v>
      </c>
      <c r="E52" s="1">
        <v>42795</v>
      </c>
      <c r="F52">
        <v>133.30000000000001</v>
      </c>
      <c r="G52">
        <v>139</v>
      </c>
      <c r="H52">
        <v>128.6</v>
      </c>
      <c r="I52">
        <v>136.30000000000001</v>
      </c>
      <c r="J52">
        <v>118.8</v>
      </c>
      <c r="K52">
        <v>138.30000000000001</v>
      </c>
      <c r="L52">
        <v>120.5</v>
      </c>
      <c r="M52">
        <v>143.9</v>
      </c>
      <c r="N52">
        <v>118</v>
      </c>
      <c r="O52">
        <v>137.9</v>
      </c>
      <c r="P52">
        <v>127.2</v>
      </c>
      <c r="Q52">
        <v>144</v>
      </c>
      <c r="R52">
        <v>133.1</v>
      </c>
      <c r="S52">
        <v>145.1</v>
      </c>
      <c r="T52">
        <v>137.30000000000001</v>
      </c>
      <c r="U52">
        <v>130.6</v>
      </c>
      <c r="V52">
        <v>136.4</v>
      </c>
      <c r="W52">
        <v>131.1</v>
      </c>
      <c r="X52">
        <v>129.1</v>
      </c>
      <c r="Y52">
        <v>130.1</v>
      </c>
      <c r="Z52">
        <v>127.8</v>
      </c>
      <c r="AA52">
        <v>117.6</v>
      </c>
      <c r="AB52">
        <v>125</v>
      </c>
      <c r="AC52">
        <v>133.80000000000001</v>
      </c>
      <c r="AD52">
        <v>122.6</v>
      </c>
      <c r="AE52">
        <v>125.1</v>
      </c>
      <c r="AF52">
        <v>130.9</v>
      </c>
    </row>
    <row r="53" spans="1:32">
      <c r="A53" t="s">
        <v>35</v>
      </c>
      <c r="B53">
        <v>2017</v>
      </c>
      <c r="C53" t="s">
        <v>39</v>
      </c>
      <c r="D53">
        <v>4</v>
      </c>
      <c r="E53" s="1">
        <v>42826</v>
      </c>
      <c r="F53">
        <v>133</v>
      </c>
      <c r="G53">
        <v>139.4</v>
      </c>
      <c r="H53">
        <v>126.1</v>
      </c>
      <c r="I53">
        <v>137.19999999999999</v>
      </c>
      <c r="J53">
        <v>118.4</v>
      </c>
      <c r="K53">
        <v>139.9</v>
      </c>
      <c r="L53">
        <v>123.4</v>
      </c>
      <c r="M53">
        <v>140.9</v>
      </c>
      <c r="N53">
        <v>118.5</v>
      </c>
      <c r="O53">
        <v>136.5</v>
      </c>
      <c r="P53">
        <v>127.4</v>
      </c>
      <c r="Q53">
        <v>144.19999999999999</v>
      </c>
      <c r="R53">
        <v>133.5</v>
      </c>
      <c r="S53">
        <v>145.4</v>
      </c>
      <c r="T53">
        <v>138</v>
      </c>
      <c r="U53">
        <v>131.1</v>
      </c>
      <c r="V53">
        <v>137</v>
      </c>
      <c r="W53">
        <v>131.69999999999999</v>
      </c>
      <c r="X53">
        <v>129.80000000000001</v>
      </c>
      <c r="Y53">
        <v>130.4</v>
      </c>
      <c r="Z53">
        <v>128.1</v>
      </c>
      <c r="AA53">
        <v>116.6</v>
      </c>
      <c r="AB53">
        <v>125.1</v>
      </c>
      <c r="AC53">
        <v>134.5</v>
      </c>
      <c r="AD53">
        <v>123.1</v>
      </c>
      <c r="AE53">
        <v>125.1</v>
      </c>
      <c r="AF53">
        <v>131.1</v>
      </c>
    </row>
    <row r="54" spans="1:32">
      <c r="A54" t="s">
        <v>35</v>
      </c>
      <c r="B54">
        <v>2017</v>
      </c>
      <c r="C54" t="s">
        <v>41</v>
      </c>
      <c r="D54">
        <v>5</v>
      </c>
      <c r="E54" s="1">
        <v>42856</v>
      </c>
      <c r="F54">
        <v>132.9</v>
      </c>
      <c r="G54">
        <v>141.6</v>
      </c>
      <c r="H54">
        <v>126.3</v>
      </c>
      <c r="I54">
        <v>137.69999999999999</v>
      </c>
      <c r="J54">
        <v>118.1</v>
      </c>
      <c r="K54">
        <v>137.9</v>
      </c>
      <c r="L54">
        <v>125.6</v>
      </c>
      <c r="M54">
        <v>138.30000000000001</v>
      </c>
      <c r="N54">
        <v>119.4</v>
      </c>
      <c r="O54">
        <v>136</v>
      </c>
      <c r="P54">
        <v>127.6</v>
      </c>
      <c r="Q54">
        <v>144.5</v>
      </c>
      <c r="R54">
        <v>133.69999999999999</v>
      </c>
      <c r="S54">
        <v>146.19999999999999</v>
      </c>
      <c r="T54">
        <v>138.19999999999999</v>
      </c>
      <c r="U54">
        <v>131.4</v>
      </c>
      <c r="V54">
        <v>137.19999999999999</v>
      </c>
      <c r="W54">
        <v>132.1</v>
      </c>
      <c r="X54">
        <v>129.4</v>
      </c>
      <c r="Y54">
        <v>130.9</v>
      </c>
      <c r="Z54">
        <v>128.4</v>
      </c>
      <c r="AA54">
        <v>116.7</v>
      </c>
      <c r="AB54">
        <v>125.7</v>
      </c>
      <c r="AC54">
        <v>134.80000000000001</v>
      </c>
      <c r="AD54">
        <v>123</v>
      </c>
      <c r="AE54">
        <v>125.3</v>
      </c>
      <c r="AF54">
        <v>131.4</v>
      </c>
    </row>
    <row r="55" spans="1:32">
      <c r="A55" t="s">
        <v>35</v>
      </c>
      <c r="B55">
        <v>2017</v>
      </c>
      <c r="C55" t="s">
        <v>42</v>
      </c>
      <c r="D55">
        <v>6</v>
      </c>
      <c r="E55" s="1">
        <v>42887</v>
      </c>
      <c r="F55">
        <v>133.30000000000001</v>
      </c>
      <c r="G55">
        <v>145.5</v>
      </c>
      <c r="H55">
        <v>128.1</v>
      </c>
      <c r="I55">
        <v>138.1</v>
      </c>
      <c r="J55">
        <v>118.2</v>
      </c>
      <c r="K55">
        <v>139.19999999999999</v>
      </c>
      <c r="L55">
        <v>133.30000000000001</v>
      </c>
      <c r="M55">
        <v>136.19999999999999</v>
      </c>
      <c r="N55">
        <v>119.6</v>
      </c>
      <c r="O55">
        <v>135.30000000000001</v>
      </c>
      <c r="P55">
        <v>127.8</v>
      </c>
      <c r="Q55">
        <v>144.9</v>
      </c>
      <c r="R55">
        <v>135.19999999999999</v>
      </c>
      <c r="S55">
        <v>146.5</v>
      </c>
      <c r="T55">
        <v>138.5</v>
      </c>
      <c r="U55">
        <v>131.69999999999999</v>
      </c>
      <c r="V55">
        <v>137.5</v>
      </c>
      <c r="W55">
        <v>131.4</v>
      </c>
      <c r="X55">
        <v>128.80000000000001</v>
      </c>
      <c r="Y55">
        <v>131.19999999999999</v>
      </c>
      <c r="Z55">
        <v>128.5</v>
      </c>
      <c r="AA55">
        <v>116.5</v>
      </c>
      <c r="AB55">
        <v>125.9</v>
      </c>
      <c r="AC55">
        <v>135.4</v>
      </c>
      <c r="AD55">
        <v>123.4</v>
      </c>
      <c r="AE55">
        <v>125.5</v>
      </c>
      <c r="AF55">
        <v>132</v>
      </c>
    </row>
    <row r="56" spans="1:32">
      <c r="A56" t="s">
        <v>35</v>
      </c>
      <c r="B56">
        <v>2017</v>
      </c>
      <c r="C56" t="s">
        <v>44</v>
      </c>
      <c r="D56">
        <v>7</v>
      </c>
      <c r="E56" s="1">
        <v>42917</v>
      </c>
      <c r="F56">
        <v>133.6</v>
      </c>
      <c r="G56">
        <v>145.69999999999999</v>
      </c>
      <c r="H56">
        <v>129.6</v>
      </c>
      <c r="I56">
        <v>138.5</v>
      </c>
      <c r="J56">
        <v>118.1</v>
      </c>
      <c r="K56">
        <v>141.80000000000001</v>
      </c>
      <c r="L56">
        <v>159.5</v>
      </c>
      <c r="M56">
        <v>133.6</v>
      </c>
      <c r="N56">
        <v>120.5</v>
      </c>
      <c r="O56">
        <v>135.19999999999999</v>
      </c>
      <c r="P56">
        <v>128.5</v>
      </c>
      <c r="Q56">
        <v>145.80000000000001</v>
      </c>
      <c r="R56">
        <v>139</v>
      </c>
      <c r="S56">
        <v>148.19999999999999</v>
      </c>
      <c r="T56">
        <v>139.30000000000001</v>
      </c>
      <c r="U56">
        <v>132.1</v>
      </c>
      <c r="V56">
        <v>138.30000000000001</v>
      </c>
      <c r="W56">
        <v>132.6</v>
      </c>
      <c r="X56">
        <v>129.4</v>
      </c>
      <c r="Y56">
        <v>131.9</v>
      </c>
      <c r="Z56">
        <v>129.4</v>
      </c>
      <c r="AA56">
        <v>116</v>
      </c>
      <c r="AB56">
        <v>126.6</v>
      </c>
      <c r="AC56">
        <v>136.80000000000001</v>
      </c>
      <c r="AD56">
        <v>123.6</v>
      </c>
      <c r="AE56">
        <v>125.9</v>
      </c>
      <c r="AF56">
        <v>134.19999999999999</v>
      </c>
    </row>
    <row r="57" spans="1:32">
      <c r="A57" t="s">
        <v>35</v>
      </c>
      <c r="B57">
        <v>2017</v>
      </c>
      <c r="C57" t="s">
        <v>46</v>
      </c>
      <c r="D57">
        <v>8</v>
      </c>
      <c r="E57" s="1">
        <v>42948</v>
      </c>
      <c r="F57">
        <v>134.30000000000001</v>
      </c>
      <c r="G57">
        <v>143.4</v>
      </c>
      <c r="H57">
        <v>129.30000000000001</v>
      </c>
      <c r="I57">
        <v>139</v>
      </c>
      <c r="J57">
        <v>118.1</v>
      </c>
      <c r="K57">
        <v>145.5</v>
      </c>
      <c r="L57">
        <v>168.6</v>
      </c>
      <c r="M57">
        <v>132.69999999999999</v>
      </c>
      <c r="N57">
        <v>121.2</v>
      </c>
      <c r="O57">
        <v>135.6</v>
      </c>
      <c r="P57">
        <v>128.69999999999999</v>
      </c>
      <c r="Q57">
        <v>146.80000000000001</v>
      </c>
      <c r="R57">
        <v>140.6</v>
      </c>
      <c r="S57">
        <v>149.80000000000001</v>
      </c>
      <c r="T57">
        <v>140.30000000000001</v>
      </c>
      <c r="U57">
        <v>133</v>
      </c>
      <c r="V57">
        <v>139.30000000000001</v>
      </c>
      <c r="W57">
        <v>134.4</v>
      </c>
      <c r="X57">
        <v>129.80000000000001</v>
      </c>
      <c r="Y57">
        <v>132.80000000000001</v>
      </c>
      <c r="Z57">
        <v>130.19999999999999</v>
      </c>
      <c r="AA57">
        <v>117.3</v>
      </c>
      <c r="AB57">
        <v>127.3</v>
      </c>
      <c r="AC57">
        <v>137.6</v>
      </c>
      <c r="AD57">
        <v>124.5</v>
      </c>
      <c r="AE57">
        <v>126.8</v>
      </c>
      <c r="AF57">
        <v>135.4</v>
      </c>
    </row>
    <row r="58" spans="1:32">
      <c r="A58" t="s">
        <v>35</v>
      </c>
      <c r="B58">
        <v>2017</v>
      </c>
      <c r="C58" t="s">
        <v>48</v>
      </c>
      <c r="D58">
        <v>9</v>
      </c>
      <c r="E58" s="1">
        <v>42979</v>
      </c>
      <c r="F58">
        <v>134.69999999999999</v>
      </c>
      <c r="G58">
        <v>142.4</v>
      </c>
      <c r="H58">
        <v>130.19999999999999</v>
      </c>
      <c r="I58">
        <v>139.6</v>
      </c>
      <c r="J58">
        <v>118.4</v>
      </c>
      <c r="K58">
        <v>143</v>
      </c>
      <c r="L58">
        <v>156.6</v>
      </c>
      <c r="M58">
        <v>132.9</v>
      </c>
      <c r="N58">
        <v>121.5</v>
      </c>
      <c r="O58">
        <v>135.6</v>
      </c>
      <c r="P58">
        <v>128.80000000000001</v>
      </c>
      <c r="Q58">
        <v>147.30000000000001</v>
      </c>
      <c r="R58">
        <v>139</v>
      </c>
      <c r="S58">
        <v>150.80000000000001</v>
      </c>
      <c r="T58">
        <v>141.1</v>
      </c>
      <c r="U58">
        <v>133.4</v>
      </c>
      <c r="V58">
        <v>140</v>
      </c>
      <c r="W58">
        <v>135.69999999999999</v>
      </c>
      <c r="X58">
        <v>131</v>
      </c>
      <c r="Y58">
        <v>133.30000000000001</v>
      </c>
      <c r="Z58">
        <v>130.6</v>
      </c>
      <c r="AA58">
        <v>118.3</v>
      </c>
      <c r="AB58">
        <v>127.9</v>
      </c>
      <c r="AC58">
        <v>137.4</v>
      </c>
      <c r="AD58">
        <v>125.7</v>
      </c>
      <c r="AE58">
        <v>127.5</v>
      </c>
      <c r="AF58">
        <v>135.19999999999999</v>
      </c>
    </row>
    <row r="59" spans="1:32">
      <c r="A59" t="s">
        <v>35</v>
      </c>
      <c r="B59">
        <v>2017</v>
      </c>
      <c r="C59" t="s">
        <v>50</v>
      </c>
      <c r="D59">
        <v>10</v>
      </c>
      <c r="E59" s="1">
        <v>43009</v>
      </c>
      <c r="F59">
        <v>135.30000000000001</v>
      </c>
      <c r="G59">
        <v>142.19999999999999</v>
      </c>
      <c r="H59">
        <v>131.19999999999999</v>
      </c>
      <c r="I59">
        <v>140.6</v>
      </c>
      <c r="J59">
        <v>119</v>
      </c>
      <c r="K59">
        <v>141.5</v>
      </c>
      <c r="L59">
        <v>162.6</v>
      </c>
      <c r="M59">
        <v>132.30000000000001</v>
      </c>
      <c r="N59">
        <v>121.8</v>
      </c>
      <c r="O59">
        <v>136.30000000000001</v>
      </c>
      <c r="P59">
        <v>128.69999999999999</v>
      </c>
      <c r="Q59">
        <v>148.1</v>
      </c>
      <c r="R59">
        <v>140.1</v>
      </c>
      <c r="S59">
        <v>151.6</v>
      </c>
      <c r="T59">
        <v>142</v>
      </c>
      <c r="U59">
        <v>134.1</v>
      </c>
      <c r="V59">
        <v>140.80000000000001</v>
      </c>
      <c r="W59">
        <v>137.30000000000001</v>
      </c>
      <c r="X59">
        <v>132.19999999999999</v>
      </c>
      <c r="Y59">
        <v>133.6</v>
      </c>
      <c r="Z59">
        <v>131.30000000000001</v>
      </c>
      <c r="AA59">
        <v>117.8</v>
      </c>
      <c r="AB59">
        <v>128.4</v>
      </c>
      <c r="AC59">
        <v>137.9</v>
      </c>
      <c r="AD59">
        <v>126.2</v>
      </c>
      <c r="AE59">
        <v>127.7</v>
      </c>
      <c r="AF59">
        <v>136.1</v>
      </c>
    </row>
    <row r="60" spans="1:32">
      <c r="A60" t="s">
        <v>35</v>
      </c>
      <c r="B60">
        <v>2017</v>
      </c>
      <c r="C60" t="s">
        <v>53</v>
      </c>
      <c r="D60">
        <v>11</v>
      </c>
      <c r="E60" s="1">
        <v>43040</v>
      </c>
      <c r="F60">
        <v>135.69999999999999</v>
      </c>
      <c r="G60">
        <v>142.4</v>
      </c>
      <c r="H60">
        <v>142.9</v>
      </c>
      <c r="I60">
        <v>140.80000000000001</v>
      </c>
      <c r="J60">
        <v>119.2</v>
      </c>
      <c r="K60">
        <v>142.19999999999999</v>
      </c>
      <c r="L60">
        <v>173.8</v>
      </c>
      <c r="M60">
        <v>131.19999999999999</v>
      </c>
      <c r="N60">
        <v>123</v>
      </c>
      <c r="O60">
        <v>136.80000000000001</v>
      </c>
      <c r="P60">
        <v>129.19999999999999</v>
      </c>
      <c r="Q60">
        <v>148.9</v>
      </c>
      <c r="R60">
        <v>142.1</v>
      </c>
      <c r="S60">
        <v>153.19999999999999</v>
      </c>
      <c r="T60">
        <v>143</v>
      </c>
      <c r="U60">
        <v>134.80000000000001</v>
      </c>
      <c r="V60">
        <v>141.80000000000001</v>
      </c>
      <c r="W60">
        <v>138.6</v>
      </c>
      <c r="X60">
        <v>135.30000000000001</v>
      </c>
      <c r="Y60">
        <v>134.4</v>
      </c>
      <c r="Z60">
        <v>132.6</v>
      </c>
      <c r="AA60">
        <v>118.3</v>
      </c>
      <c r="AB60">
        <v>128.9</v>
      </c>
      <c r="AC60">
        <v>138.6</v>
      </c>
      <c r="AD60">
        <v>126.8</v>
      </c>
      <c r="AE60">
        <v>128.4</v>
      </c>
      <c r="AF60">
        <v>137.6</v>
      </c>
    </row>
    <row r="61" spans="1:32">
      <c r="A61" t="s">
        <v>35</v>
      </c>
      <c r="B61">
        <v>2017</v>
      </c>
      <c r="C61" t="s">
        <v>55</v>
      </c>
      <c r="D61">
        <v>12</v>
      </c>
      <c r="E61" s="1">
        <v>43070</v>
      </c>
      <c r="F61">
        <v>135.80000000000001</v>
      </c>
      <c r="G61">
        <v>143.30000000000001</v>
      </c>
      <c r="H61">
        <v>145.19999999999999</v>
      </c>
      <c r="I61">
        <v>141</v>
      </c>
      <c r="J61">
        <v>120.5</v>
      </c>
      <c r="K61">
        <v>141.5</v>
      </c>
      <c r="L61">
        <v>161.69999999999999</v>
      </c>
      <c r="M61">
        <v>129.1</v>
      </c>
      <c r="N61">
        <v>121.5</v>
      </c>
      <c r="O61">
        <v>137.1</v>
      </c>
      <c r="P61">
        <v>128.80000000000001</v>
      </c>
      <c r="Q61">
        <v>149</v>
      </c>
      <c r="R61">
        <v>140.5</v>
      </c>
      <c r="S61">
        <v>154.19999999999999</v>
      </c>
      <c r="T61">
        <v>143.1</v>
      </c>
      <c r="U61">
        <v>135.1</v>
      </c>
      <c r="V61">
        <v>142</v>
      </c>
      <c r="W61">
        <v>139.1</v>
      </c>
      <c r="X61">
        <v>136.6</v>
      </c>
      <c r="Y61">
        <v>134.69999999999999</v>
      </c>
      <c r="Z61">
        <v>133.1</v>
      </c>
      <c r="AA61">
        <v>118.5</v>
      </c>
      <c r="AB61">
        <v>129</v>
      </c>
      <c r="AC61">
        <v>138.5</v>
      </c>
      <c r="AD61">
        <v>126.5</v>
      </c>
      <c r="AE61">
        <v>128.6</v>
      </c>
      <c r="AF61">
        <v>137.19999999999999</v>
      </c>
    </row>
    <row r="62" spans="1:32">
      <c r="A62" t="s">
        <v>35</v>
      </c>
      <c r="B62">
        <v>2018</v>
      </c>
      <c r="C62" t="s">
        <v>31</v>
      </c>
      <c r="D62">
        <v>1</v>
      </c>
      <c r="E62" s="1">
        <v>43101</v>
      </c>
      <c r="F62">
        <v>136</v>
      </c>
      <c r="G62">
        <v>144.19999999999999</v>
      </c>
      <c r="H62">
        <v>143.69999999999999</v>
      </c>
      <c r="I62">
        <v>141.1</v>
      </c>
      <c r="J62">
        <v>120.7</v>
      </c>
      <c r="K62">
        <v>141.30000000000001</v>
      </c>
      <c r="L62">
        <v>151.6</v>
      </c>
      <c r="M62">
        <v>127.3</v>
      </c>
      <c r="N62">
        <v>118.8</v>
      </c>
      <c r="O62">
        <v>137.5</v>
      </c>
      <c r="P62">
        <v>129</v>
      </c>
      <c r="Q62">
        <v>149.5</v>
      </c>
      <c r="R62">
        <v>139.19999999999999</v>
      </c>
      <c r="S62">
        <v>154.69999999999999</v>
      </c>
      <c r="T62">
        <v>143.5</v>
      </c>
      <c r="U62">
        <v>135.5</v>
      </c>
      <c r="V62">
        <v>142.30000000000001</v>
      </c>
      <c r="W62">
        <v>140.4</v>
      </c>
      <c r="X62">
        <v>136.6</v>
      </c>
      <c r="Y62">
        <v>134.9</v>
      </c>
      <c r="Z62">
        <v>133.30000000000001</v>
      </c>
      <c r="AA62">
        <v>119.3</v>
      </c>
      <c r="AB62">
        <v>129.69999999999999</v>
      </c>
      <c r="AC62">
        <v>139</v>
      </c>
      <c r="AD62">
        <v>127.3</v>
      </c>
      <c r="AE62">
        <v>129.1</v>
      </c>
      <c r="AF62">
        <v>136.9</v>
      </c>
    </row>
    <row r="63" spans="1:32">
      <c r="A63" t="s">
        <v>35</v>
      </c>
      <c r="B63">
        <v>2018</v>
      </c>
      <c r="C63" t="s">
        <v>36</v>
      </c>
      <c r="D63">
        <v>2</v>
      </c>
      <c r="E63" s="1">
        <v>43132</v>
      </c>
      <c r="F63">
        <v>135.9</v>
      </c>
      <c r="G63">
        <v>143.5</v>
      </c>
      <c r="H63">
        <v>140.30000000000001</v>
      </c>
      <c r="I63">
        <v>140.9</v>
      </c>
      <c r="J63">
        <v>120.4</v>
      </c>
      <c r="K63">
        <v>142.9</v>
      </c>
      <c r="L63">
        <v>140.5</v>
      </c>
      <c r="M63">
        <v>125.8</v>
      </c>
      <c r="N63">
        <v>117.1</v>
      </c>
      <c r="O63">
        <v>137.30000000000001</v>
      </c>
      <c r="P63">
        <v>128.6</v>
      </c>
      <c r="Q63">
        <v>149.6</v>
      </c>
      <c r="R63">
        <v>137.6</v>
      </c>
      <c r="S63">
        <v>154.9</v>
      </c>
      <c r="T63">
        <v>143.80000000000001</v>
      </c>
      <c r="U63">
        <v>135.6</v>
      </c>
      <c r="V63">
        <v>142.6</v>
      </c>
      <c r="W63">
        <v>141.30000000000001</v>
      </c>
      <c r="X63">
        <v>136.69999999999999</v>
      </c>
      <c r="Y63">
        <v>135.19999999999999</v>
      </c>
      <c r="Z63">
        <v>133.80000000000001</v>
      </c>
      <c r="AA63">
        <v>120.2</v>
      </c>
      <c r="AB63">
        <v>129.9</v>
      </c>
      <c r="AC63">
        <v>139</v>
      </c>
      <c r="AD63">
        <v>127.7</v>
      </c>
      <c r="AE63">
        <v>129.6</v>
      </c>
      <c r="AF63">
        <v>136.4</v>
      </c>
    </row>
    <row r="64" spans="1:32">
      <c r="A64" t="s">
        <v>35</v>
      </c>
      <c r="B64">
        <v>2018</v>
      </c>
      <c r="C64" t="s">
        <v>38</v>
      </c>
      <c r="D64">
        <v>3</v>
      </c>
      <c r="E64" s="1">
        <v>43160</v>
      </c>
      <c r="F64">
        <v>136.19999999999999</v>
      </c>
      <c r="G64">
        <v>143.6</v>
      </c>
      <c r="H64">
        <v>138.30000000000001</v>
      </c>
      <c r="I64">
        <v>141.19999999999999</v>
      </c>
      <c r="J64">
        <v>120.7</v>
      </c>
      <c r="K64">
        <v>146.19999999999999</v>
      </c>
      <c r="L64">
        <v>134.6</v>
      </c>
      <c r="M64">
        <v>124.6</v>
      </c>
      <c r="N64">
        <v>116.1</v>
      </c>
      <c r="O64">
        <v>137.80000000000001</v>
      </c>
      <c r="P64">
        <v>129.1</v>
      </c>
      <c r="Q64">
        <v>150.4</v>
      </c>
      <c r="R64">
        <v>137.19999999999999</v>
      </c>
      <c r="S64">
        <v>156.30000000000001</v>
      </c>
      <c r="T64">
        <v>144.30000000000001</v>
      </c>
      <c r="U64">
        <v>136.19999999999999</v>
      </c>
      <c r="V64">
        <v>143.1</v>
      </c>
      <c r="W64">
        <v>142</v>
      </c>
      <c r="X64">
        <v>136.5</v>
      </c>
      <c r="Y64">
        <v>135.6</v>
      </c>
      <c r="Z64">
        <v>134.30000000000001</v>
      </c>
      <c r="AA64">
        <v>121</v>
      </c>
      <c r="AB64">
        <v>130.4</v>
      </c>
      <c r="AC64">
        <v>139.80000000000001</v>
      </c>
      <c r="AD64">
        <v>128.19999999999999</v>
      </c>
      <c r="AE64">
        <v>130.30000000000001</v>
      </c>
      <c r="AF64">
        <v>136.5</v>
      </c>
    </row>
    <row r="65" spans="1:32">
      <c r="A65" t="s">
        <v>35</v>
      </c>
      <c r="B65">
        <v>2018</v>
      </c>
      <c r="C65" t="s">
        <v>39</v>
      </c>
      <c r="D65">
        <v>4</v>
      </c>
      <c r="E65" s="1">
        <v>43191</v>
      </c>
      <c r="F65">
        <v>136.4</v>
      </c>
      <c r="G65">
        <v>144.4</v>
      </c>
      <c r="H65">
        <v>133.9</v>
      </c>
      <c r="I65">
        <v>141.6</v>
      </c>
      <c r="J65">
        <v>121</v>
      </c>
      <c r="K65">
        <v>153.5</v>
      </c>
      <c r="L65">
        <v>132.6</v>
      </c>
      <c r="M65">
        <v>123.5</v>
      </c>
      <c r="N65">
        <v>113.7</v>
      </c>
      <c r="O65">
        <v>138.19999999999999</v>
      </c>
      <c r="P65">
        <v>129.6</v>
      </c>
      <c r="Q65">
        <v>151.19999999999999</v>
      </c>
      <c r="R65">
        <v>137.5</v>
      </c>
      <c r="S65">
        <v>156.9</v>
      </c>
      <c r="T65">
        <v>145.30000000000001</v>
      </c>
      <c r="U65">
        <v>136.69999999999999</v>
      </c>
      <c r="V65">
        <v>144</v>
      </c>
      <c r="W65">
        <v>142.9</v>
      </c>
      <c r="X65">
        <v>136.5</v>
      </c>
      <c r="Y65">
        <v>136.6</v>
      </c>
      <c r="Z65">
        <v>135.19999999999999</v>
      </c>
      <c r="AA65">
        <v>121.9</v>
      </c>
      <c r="AB65">
        <v>131.30000000000001</v>
      </c>
      <c r="AC65">
        <v>141.4</v>
      </c>
      <c r="AD65">
        <v>129.19999999999999</v>
      </c>
      <c r="AE65">
        <v>131.30000000000001</v>
      </c>
      <c r="AF65">
        <v>137.1</v>
      </c>
    </row>
    <row r="66" spans="1:32">
      <c r="A66" t="s">
        <v>35</v>
      </c>
      <c r="B66">
        <v>2018</v>
      </c>
      <c r="C66" t="s">
        <v>41</v>
      </c>
      <c r="D66">
        <v>5</v>
      </c>
      <c r="E66" s="1">
        <v>43221</v>
      </c>
      <c r="F66">
        <v>136.6</v>
      </c>
      <c r="G66">
        <v>146.6</v>
      </c>
      <c r="H66">
        <v>133.6</v>
      </c>
      <c r="I66">
        <v>142.1</v>
      </c>
      <c r="J66">
        <v>121</v>
      </c>
      <c r="K66">
        <v>154.6</v>
      </c>
      <c r="L66">
        <v>135.6</v>
      </c>
      <c r="M66">
        <v>122.3</v>
      </c>
      <c r="N66">
        <v>109.6</v>
      </c>
      <c r="O66">
        <v>138.1</v>
      </c>
      <c r="P66">
        <v>129.9</v>
      </c>
      <c r="Q66">
        <v>151.69999999999999</v>
      </c>
      <c r="R66">
        <v>138.1</v>
      </c>
      <c r="S66">
        <v>157.9</v>
      </c>
      <c r="T66">
        <v>146</v>
      </c>
      <c r="U66">
        <v>137.4</v>
      </c>
      <c r="V66">
        <v>144.69999999999999</v>
      </c>
      <c r="W66">
        <v>143.19999999999999</v>
      </c>
      <c r="X66">
        <v>136.9</v>
      </c>
      <c r="Y66">
        <v>137.4</v>
      </c>
      <c r="Z66">
        <v>136</v>
      </c>
      <c r="AA66">
        <v>122.9</v>
      </c>
      <c r="AB66">
        <v>131.80000000000001</v>
      </c>
      <c r="AC66">
        <v>142.1</v>
      </c>
      <c r="AD66">
        <v>129.9</v>
      </c>
      <c r="AE66">
        <v>132.1</v>
      </c>
      <c r="AF66">
        <v>137.80000000000001</v>
      </c>
    </row>
    <row r="67" spans="1:32">
      <c r="A67" t="s">
        <v>35</v>
      </c>
      <c r="B67">
        <v>2018</v>
      </c>
      <c r="C67" t="s">
        <v>42</v>
      </c>
      <c r="D67">
        <v>6</v>
      </c>
      <c r="E67" s="1">
        <v>43252</v>
      </c>
      <c r="F67">
        <v>136.9</v>
      </c>
      <c r="G67">
        <v>148.69999999999999</v>
      </c>
      <c r="H67">
        <v>135.6</v>
      </c>
      <c r="I67">
        <v>142.30000000000001</v>
      </c>
      <c r="J67">
        <v>121.3</v>
      </c>
      <c r="K67">
        <v>153.19999999999999</v>
      </c>
      <c r="L67">
        <v>143.69999999999999</v>
      </c>
      <c r="M67">
        <v>121.4</v>
      </c>
      <c r="N67">
        <v>111.1</v>
      </c>
      <c r="O67">
        <v>138.4</v>
      </c>
      <c r="P67">
        <v>130.30000000000001</v>
      </c>
      <c r="Q67">
        <v>151.80000000000001</v>
      </c>
      <c r="R67">
        <v>139.4</v>
      </c>
      <c r="S67">
        <v>158.30000000000001</v>
      </c>
      <c r="T67">
        <v>146.4</v>
      </c>
      <c r="U67">
        <v>138.1</v>
      </c>
      <c r="V67">
        <v>145.19999999999999</v>
      </c>
      <c r="W67">
        <v>142.5</v>
      </c>
      <c r="X67">
        <v>138.1</v>
      </c>
      <c r="Y67">
        <v>137.9</v>
      </c>
      <c r="Z67">
        <v>136.19999999999999</v>
      </c>
      <c r="AA67">
        <v>123.7</v>
      </c>
      <c r="AB67">
        <v>132.6</v>
      </c>
      <c r="AC67">
        <v>142.80000000000001</v>
      </c>
      <c r="AD67">
        <v>130.1</v>
      </c>
      <c r="AE67">
        <v>132.6</v>
      </c>
      <c r="AF67">
        <v>138.5</v>
      </c>
    </row>
    <row r="68" spans="1:32">
      <c r="A68" t="s">
        <v>35</v>
      </c>
      <c r="B68">
        <v>2018</v>
      </c>
      <c r="C68" t="s">
        <v>44</v>
      </c>
      <c r="D68">
        <v>7</v>
      </c>
      <c r="E68" s="1">
        <v>43282</v>
      </c>
      <c r="F68">
        <v>137.5</v>
      </c>
      <c r="G68">
        <v>149.1</v>
      </c>
      <c r="H68">
        <v>139.19999999999999</v>
      </c>
      <c r="I68">
        <v>142.5</v>
      </c>
      <c r="J68">
        <v>121.4</v>
      </c>
      <c r="K68">
        <v>151.6</v>
      </c>
      <c r="L68">
        <v>155.9</v>
      </c>
      <c r="M68">
        <v>121.7</v>
      </c>
      <c r="N68">
        <v>113.5</v>
      </c>
      <c r="O68">
        <v>138.9</v>
      </c>
      <c r="P68">
        <v>130.30000000000001</v>
      </c>
      <c r="Q68">
        <v>152.30000000000001</v>
      </c>
      <c r="R68">
        <v>141.4</v>
      </c>
      <c r="S68">
        <v>157.5</v>
      </c>
      <c r="T68">
        <v>146.80000000000001</v>
      </c>
      <c r="U68">
        <v>138.4</v>
      </c>
      <c r="V68">
        <v>145.6</v>
      </c>
      <c r="W68">
        <v>143.6</v>
      </c>
      <c r="X68">
        <v>139.69999999999999</v>
      </c>
      <c r="Y68">
        <v>138.6</v>
      </c>
      <c r="Z68">
        <v>137</v>
      </c>
      <c r="AA68">
        <v>123.6</v>
      </c>
      <c r="AB68">
        <v>133.1</v>
      </c>
      <c r="AC68">
        <v>144.69999999999999</v>
      </c>
      <c r="AD68">
        <v>130.1</v>
      </c>
      <c r="AE68">
        <v>133.19999999999999</v>
      </c>
      <c r="AF68">
        <v>139.80000000000001</v>
      </c>
    </row>
    <row r="69" spans="1:32">
      <c r="A69" t="s">
        <v>35</v>
      </c>
      <c r="B69">
        <v>2018</v>
      </c>
      <c r="C69" t="s">
        <v>46</v>
      </c>
      <c r="D69">
        <v>8</v>
      </c>
      <c r="E69" s="1">
        <v>43313</v>
      </c>
      <c r="F69">
        <v>138.30000000000001</v>
      </c>
      <c r="G69">
        <v>148</v>
      </c>
      <c r="H69">
        <v>138.1</v>
      </c>
      <c r="I69">
        <v>142.6</v>
      </c>
      <c r="J69">
        <v>122.2</v>
      </c>
      <c r="K69">
        <v>150.6</v>
      </c>
      <c r="L69">
        <v>156.6</v>
      </c>
      <c r="M69">
        <v>122.4</v>
      </c>
      <c r="N69">
        <v>114.7</v>
      </c>
      <c r="O69">
        <v>139.4</v>
      </c>
      <c r="P69">
        <v>131.1</v>
      </c>
      <c r="Q69">
        <v>153</v>
      </c>
      <c r="R69">
        <v>141.69999999999999</v>
      </c>
      <c r="S69">
        <v>157.9</v>
      </c>
      <c r="T69">
        <v>147.30000000000001</v>
      </c>
      <c r="U69">
        <v>138.80000000000001</v>
      </c>
      <c r="V69">
        <v>146.1</v>
      </c>
      <c r="W69">
        <v>144.6</v>
      </c>
      <c r="X69">
        <v>140.9</v>
      </c>
      <c r="Y69">
        <v>139.4</v>
      </c>
      <c r="Z69">
        <v>137.69999999999999</v>
      </c>
      <c r="AA69">
        <v>124.3</v>
      </c>
      <c r="AB69">
        <v>133.6</v>
      </c>
      <c r="AC69">
        <v>146</v>
      </c>
      <c r="AD69">
        <v>130.1</v>
      </c>
      <c r="AE69">
        <v>133.9</v>
      </c>
      <c r="AF69">
        <v>140.4</v>
      </c>
    </row>
    <row r="70" spans="1:32">
      <c r="A70" t="s">
        <v>35</v>
      </c>
      <c r="B70">
        <v>2018</v>
      </c>
      <c r="C70" t="s">
        <v>48</v>
      </c>
      <c r="D70">
        <v>9</v>
      </c>
      <c r="E70" s="1">
        <v>43344</v>
      </c>
      <c r="F70">
        <v>138.6</v>
      </c>
      <c r="G70">
        <v>145.80000000000001</v>
      </c>
      <c r="H70">
        <v>135.1</v>
      </c>
      <c r="I70">
        <v>142.9</v>
      </c>
      <c r="J70">
        <v>122.1</v>
      </c>
      <c r="K70">
        <v>145.4</v>
      </c>
      <c r="L70">
        <v>150</v>
      </c>
      <c r="M70">
        <v>121.4</v>
      </c>
      <c r="N70">
        <v>113.7</v>
      </c>
      <c r="O70">
        <v>139.5</v>
      </c>
      <c r="P70">
        <v>130.80000000000001</v>
      </c>
      <c r="Q70">
        <v>153.80000000000001</v>
      </c>
      <c r="R70">
        <v>140.4</v>
      </c>
      <c r="S70">
        <v>159.19999999999999</v>
      </c>
      <c r="T70">
        <v>147.69999999999999</v>
      </c>
      <c r="U70">
        <v>139.1</v>
      </c>
      <c r="V70">
        <v>146.5</v>
      </c>
      <c r="W70">
        <v>145.30000000000001</v>
      </c>
      <c r="X70">
        <v>142.30000000000001</v>
      </c>
      <c r="Y70">
        <v>139.69999999999999</v>
      </c>
      <c r="Z70">
        <v>138.4</v>
      </c>
      <c r="AA70">
        <v>126</v>
      </c>
      <c r="AB70">
        <v>134.5</v>
      </c>
      <c r="AC70">
        <v>146.19999999999999</v>
      </c>
      <c r="AD70">
        <v>130.9</v>
      </c>
      <c r="AE70">
        <v>134.69999999999999</v>
      </c>
      <c r="AF70">
        <v>140.19999999999999</v>
      </c>
    </row>
    <row r="71" spans="1:32">
      <c r="A71" t="s">
        <v>35</v>
      </c>
      <c r="B71">
        <v>2018</v>
      </c>
      <c r="C71" t="s">
        <v>50</v>
      </c>
      <c r="D71">
        <v>10</v>
      </c>
      <c r="E71" s="1">
        <v>43374</v>
      </c>
      <c r="F71">
        <v>137.4</v>
      </c>
      <c r="G71">
        <v>149.5</v>
      </c>
      <c r="H71">
        <v>137.30000000000001</v>
      </c>
      <c r="I71">
        <v>141.9</v>
      </c>
      <c r="J71">
        <v>121.1</v>
      </c>
      <c r="K71">
        <v>142.5</v>
      </c>
      <c r="L71">
        <v>146.69999999999999</v>
      </c>
      <c r="M71">
        <v>119.1</v>
      </c>
      <c r="N71">
        <v>111.9</v>
      </c>
      <c r="O71">
        <v>141</v>
      </c>
      <c r="P71">
        <v>133.6</v>
      </c>
      <c r="Q71">
        <v>154.5</v>
      </c>
      <c r="R71">
        <v>139.69999999999999</v>
      </c>
      <c r="S71">
        <v>162.6</v>
      </c>
      <c r="T71">
        <v>148</v>
      </c>
      <c r="U71">
        <v>139.19999999999999</v>
      </c>
      <c r="V71">
        <v>146.80000000000001</v>
      </c>
      <c r="W71">
        <v>146.9</v>
      </c>
      <c r="X71">
        <v>145.30000000000001</v>
      </c>
      <c r="Y71">
        <v>142.19999999999999</v>
      </c>
      <c r="Z71">
        <v>142.1</v>
      </c>
      <c r="AA71">
        <v>125.5</v>
      </c>
      <c r="AB71">
        <v>136.5</v>
      </c>
      <c r="AC71">
        <v>147.80000000000001</v>
      </c>
      <c r="AD71">
        <v>132</v>
      </c>
      <c r="AE71">
        <v>136.30000000000001</v>
      </c>
      <c r="AF71">
        <v>140.80000000000001</v>
      </c>
    </row>
    <row r="72" spans="1:32">
      <c r="A72" t="s">
        <v>35</v>
      </c>
      <c r="B72">
        <v>2018</v>
      </c>
      <c r="C72" t="s">
        <v>53</v>
      </c>
      <c r="D72">
        <v>11</v>
      </c>
      <c r="E72" s="1">
        <v>43405</v>
      </c>
      <c r="F72">
        <v>137.4</v>
      </c>
      <c r="G72">
        <v>149.19999999999999</v>
      </c>
      <c r="H72">
        <v>137.1</v>
      </c>
      <c r="I72">
        <v>141.80000000000001</v>
      </c>
      <c r="J72">
        <v>121.1</v>
      </c>
      <c r="K72">
        <v>142.80000000000001</v>
      </c>
      <c r="L72">
        <v>146.69999999999999</v>
      </c>
      <c r="M72">
        <v>119.1</v>
      </c>
      <c r="N72">
        <v>111.9</v>
      </c>
      <c r="O72">
        <v>140.9</v>
      </c>
      <c r="P72">
        <v>133.5</v>
      </c>
      <c r="Q72">
        <v>154.5</v>
      </c>
      <c r="R72">
        <v>139.69999999999999</v>
      </c>
      <c r="S72">
        <v>162.6</v>
      </c>
      <c r="T72">
        <v>148</v>
      </c>
      <c r="U72">
        <v>139.1</v>
      </c>
      <c r="V72">
        <v>146.69999999999999</v>
      </c>
      <c r="W72">
        <v>146.9</v>
      </c>
      <c r="X72">
        <v>145.1</v>
      </c>
      <c r="Y72">
        <v>142.19999999999999</v>
      </c>
      <c r="Z72">
        <v>142.1</v>
      </c>
      <c r="AA72">
        <v>125.5</v>
      </c>
      <c r="AB72">
        <v>136.5</v>
      </c>
      <c r="AC72">
        <v>147.80000000000001</v>
      </c>
      <c r="AD72">
        <v>132</v>
      </c>
      <c r="AE72">
        <v>136.30000000000001</v>
      </c>
      <c r="AF72">
        <v>140.80000000000001</v>
      </c>
    </row>
    <row r="73" spans="1:32">
      <c r="A73" t="s">
        <v>35</v>
      </c>
      <c r="B73">
        <v>2018</v>
      </c>
      <c r="C73" t="s">
        <v>55</v>
      </c>
      <c r="D73">
        <v>12</v>
      </c>
      <c r="E73" s="1">
        <v>43435</v>
      </c>
      <c r="F73">
        <v>137.5</v>
      </c>
      <c r="G73">
        <v>150.5</v>
      </c>
      <c r="H73">
        <v>138.80000000000001</v>
      </c>
      <c r="I73">
        <v>142.1</v>
      </c>
      <c r="J73">
        <v>122</v>
      </c>
      <c r="K73">
        <v>139.4</v>
      </c>
      <c r="L73">
        <v>135.19999999999999</v>
      </c>
      <c r="M73">
        <v>119.8</v>
      </c>
      <c r="N73">
        <v>110.3</v>
      </c>
      <c r="O73">
        <v>140.6</v>
      </c>
      <c r="P73">
        <v>133.80000000000001</v>
      </c>
      <c r="Q73">
        <v>154.6</v>
      </c>
      <c r="R73">
        <v>138.19999999999999</v>
      </c>
      <c r="S73">
        <v>163</v>
      </c>
      <c r="T73">
        <v>148.1</v>
      </c>
      <c r="U73">
        <v>139.4</v>
      </c>
      <c r="V73">
        <v>146.80000000000001</v>
      </c>
      <c r="W73">
        <v>146.5</v>
      </c>
      <c r="X73">
        <v>142.69999999999999</v>
      </c>
      <c r="Y73">
        <v>143.19999999999999</v>
      </c>
      <c r="Z73">
        <v>144.9</v>
      </c>
      <c r="AA73">
        <v>123.6</v>
      </c>
      <c r="AB73">
        <v>136.80000000000001</v>
      </c>
      <c r="AC73">
        <v>150.1</v>
      </c>
      <c r="AD73">
        <v>132.19999999999999</v>
      </c>
      <c r="AE73">
        <v>136.80000000000001</v>
      </c>
      <c r="AF73">
        <v>140.1</v>
      </c>
    </row>
    <row r="74" spans="1:32">
      <c r="A74" t="s">
        <v>35</v>
      </c>
      <c r="B74">
        <v>2019</v>
      </c>
      <c r="C74" t="s">
        <v>31</v>
      </c>
      <c r="D74">
        <v>1</v>
      </c>
      <c r="E74" s="1">
        <v>43466</v>
      </c>
      <c r="F74">
        <v>137.1</v>
      </c>
      <c r="G74">
        <v>151.4</v>
      </c>
      <c r="H74">
        <v>140.19999999999999</v>
      </c>
      <c r="I74">
        <v>142.1</v>
      </c>
      <c r="J74">
        <v>121.8</v>
      </c>
      <c r="K74">
        <v>135.4</v>
      </c>
      <c r="L74">
        <v>131.30000000000001</v>
      </c>
      <c r="M74">
        <v>120.3</v>
      </c>
      <c r="N74">
        <v>109.1</v>
      </c>
      <c r="O74">
        <v>139.4</v>
      </c>
      <c r="P74">
        <v>133.30000000000001</v>
      </c>
      <c r="Q74">
        <v>154.6</v>
      </c>
      <c r="R74">
        <v>137.4</v>
      </c>
      <c r="S74">
        <v>163.19999999999999</v>
      </c>
      <c r="T74">
        <v>147.6</v>
      </c>
      <c r="U74">
        <v>139</v>
      </c>
      <c r="V74">
        <v>146.4</v>
      </c>
      <c r="W74">
        <v>147.69999999999999</v>
      </c>
      <c r="X74">
        <v>139.5</v>
      </c>
      <c r="Y74">
        <v>143.6</v>
      </c>
      <c r="Z74">
        <v>145.1</v>
      </c>
      <c r="AA74">
        <v>123.3</v>
      </c>
      <c r="AB74">
        <v>136.69999999999999</v>
      </c>
      <c r="AC74">
        <v>150.19999999999999</v>
      </c>
      <c r="AD74">
        <v>132.80000000000001</v>
      </c>
      <c r="AE74">
        <v>136.9</v>
      </c>
      <c r="AF74">
        <v>139.6</v>
      </c>
    </row>
    <row r="75" spans="1:32">
      <c r="A75" t="s">
        <v>35</v>
      </c>
      <c r="B75">
        <v>2019</v>
      </c>
      <c r="C75" t="s">
        <v>36</v>
      </c>
      <c r="D75">
        <v>2</v>
      </c>
      <c r="E75" s="1">
        <v>43497</v>
      </c>
      <c r="F75">
        <v>137.6</v>
      </c>
      <c r="G75">
        <v>152</v>
      </c>
      <c r="H75">
        <v>141.5</v>
      </c>
      <c r="I75">
        <v>142.19999999999999</v>
      </c>
      <c r="J75">
        <v>122</v>
      </c>
      <c r="K75">
        <v>136.4</v>
      </c>
      <c r="L75">
        <v>129.69999999999999</v>
      </c>
      <c r="M75">
        <v>121</v>
      </c>
      <c r="N75">
        <v>109</v>
      </c>
      <c r="O75">
        <v>139.69999999999999</v>
      </c>
      <c r="P75">
        <v>133.6</v>
      </c>
      <c r="Q75">
        <v>154.9</v>
      </c>
      <c r="R75">
        <v>137.5</v>
      </c>
      <c r="S75">
        <v>163.4</v>
      </c>
      <c r="T75">
        <v>147.69999999999999</v>
      </c>
      <c r="U75">
        <v>139.69999999999999</v>
      </c>
      <c r="V75">
        <v>146.5</v>
      </c>
      <c r="W75">
        <v>148.5</v>
      </c>
      <c r="X75">
        <v>138.4</v>
      </c>
      <c r="Y75">
        <v>143.69999999999999</v>
      </c>
      <c r="Z75">
        <v>145.6</v>
      </c>
      <c r="AA75">
        <v>123.9</v>
      </c>
      <c r="AB75">
        <v>137.1</v>
      </c>
      <c r="AC75">
        <v>150.30000000000001</v>
      </c>
      <c r="AD75">
        <v>134.1</v>
      </c>
      <c r="AE75">
        <v>137.4</v>
      </c>
      <c r="AF75">
        <v>139.9</v>
      </c>
    </row>
    <row r="76" spans="1:32">
      <c r="A76" t="s">
        <v>35</v>
      </c>
      <c r="B76">
        <v>2019</v>
      </c>
      <c r="C76" t="s">
        <v>38</v>
      </c>
      <c r="D76">
        <v>3</v>
      </c>
      <c r="E76" s="1">
        <v>43525</v>
      </c>
      <c r="F76">
        <v>137.80000000000001</v>
      </c>
      <c r="G76">
        <v>153</v>
      </c>
      <c r="H76">
        <v>140.30000000000001</v>
      </c>
      <c r="I76">
        <v>142.30000000000001</v>
      </c>
      <c r="J76">
        <v>122</v>
      </c>
      <c r="K76">
        <v>137.6</v>
      </c>
      <c r="L76">
        <v>132.6</v>
      </c>
      <c r="M76">
        <v>121.8</v>
      </c>
      <c r="N76">
        <v>109</v>
      </c>
      <c r="O76">
        <v>139.5</v>
      </c>
      <c r="P76">
        <v>133.69999999999999</v>
      </c>
      <c r="Q76">
        <v>155.19999999999999</v>
      </c>
      <c r="R76">
        <v>138.1</v>
      </c>
      <c r="S76">
        <v>163.5</v>
      </c>
      <c r="T76">
        <v>147.9</v>
      </c>
      <c r="U76">
        <v>139.9</v>
      </c>
      <c r="V76">
        <v>146.69999999999999</v>
      </c>
      <c r="W76">
        <v>149</v>
      </c>
      <c r="X76">
        <v>139.69999999999999</v>
      </c>
      <c r="Y76">
        <v>143.80000000000001</v>
      </c>
      <c r="Z76">
        <v>146.19999999999999</v>
      </c>
      <c r="AA76">
        <v>124.6</v>
      </c>
      <c r="AB76">
        <v>137.69999999999999</v>
      </c>
      <c r="AC76">
        <v>150.30000000000001</v>
      </c>
      <c r="AD76">
        <v>133.4</v>
      </c>
      <c r="AE76">
        <v>137.69999999999999</v>
      </c>
      <c r="AF76">
        <v>140.4</v>
      </c>
    </row>
    <row r="77" spans="1:32">
      <c r="A77" t="s">
        <v>35</v>
      </c>
      <c r="B77">
        <v>2019</v>
      </c>
      <c r="C77" t="s">
        <v>39</v>
      </c>
      <c r="D77">
        <v>4</v>
      </c>
      <c r="E77" s="1">
        <v>43556</v>
      </c>
      <c r="F77">
        <v>138</v>
      </c>
      <c r="G77">
        <v>155.80000000000001</v>
      </c>
      <c r="H77">
        <v>138.19999999999999</v>
      </c>
      <c r="I77">
        <v>142.4</v>
      </c>
      <c r="J77">
        <v>122</v>
      </c>
      <c r="K77">
        <v>142</v>
      </c>
      <c r="L77">
        <v>137.80000000000001</v>
      </c>
      <c r="M77">
        <v>123.4</v>
      </c>
      <c r="N77">
        <v>109.4</v>
      </c>
      <c r="O77">
        <v>139.69999999999999</v>
      </c>
      <c r="P77">
        <v>133.80000000000001</v>
      </c>
      <c r="Q77">
        <v>155.4</v>
      </c>
      <c r="R77">
        <v>139.5</v>
      </c>
      <c r="S77">
        <v>163.80000000000001</v>
      </c>
      <c r="T77">
        <v>148.19999999999999</v>
      </c>
      <c r="U77">
        <v>140.19999999999999</v>
      </c>
      <c r="V77">
        <v>147</v>
      </c>
      <c r="W77">
        <v>149.6</v>
      </c>
      <c r="X77">
        <v>140</v>
      </c>
      <c r="Y77">
        <v>143.80000000000001</v>
      </c>
      <c r="Z77">
        <v>146.6</v>
      </c>
      <c r="AA77">
        <v>124.8</v>
      </c>
      <c r="AB77">
        <v>138.4</v>
      </c>
      <c r="AC77">
        <v>151</v>
      </c>
      <c r="AD77">
        <v>133.4</v>
      </c>
      <c r="AE77">
        <v>138</v>
      </c>
      <c r="AF77">
        <v>141.19999999999999</v>
      </c>
    </row>
    <row r="78" spans="1:32">
      <c r="A78" t="s">
        <v>35</v>
      </c>
      <c r="B78">
        <v>2019</v>
      </c>
      <c r="C78" t="s">
        <v>41</v>
      </c>
      <c r="D78">
        <v>5</v>
      </c>
      <c r="E78" s="1">
        <v>43586</v>
      </c>
      <c r="F78">
        <v>138.30000000000001</v>
      </c>
      <c r="G78">
        <v>158.5</v>
      </c>
      <c r="H78">
        <v>136</v>
      </c>
      <c r="I78">
        <v>142.5</v>
      </c>
      <c r="J78">
        <v>122</v>
      </c>
      <c r="K78">
        <v>146.5</v>
      </c>
      <c r="L78">
        <v>143</v>
      </c>
      <c r="M78">
        <v>124.9</v>
      </c>
      <c r="N78">
        <v>109.9</v>
      </c>
      <c r="O78">
        <v>139.9</v>
      </c>
      <c r="P78">
        <v>134</v>
      </c>
      <c r="Q78">
        <v>155.5</v>
      </c>
      <c r="R78">
        <v>140.9</v>
      </c>
      <c r="S78">
        <v>164.1</v>
      </c>
      <c r="T78">
        <v>148.4</v>
      </c>
      <c r="U78">
        <v>140.4</v>
      </c>
      <c r="V78">
        <v>147.30000000000001</v>
      </c>
      <c r="W78">
        <v>150.1</v>
      </c>
      <c r="X78">
        <v>140.30000000000001</v>
      </c>
      <c r="Y78">
        <v>143.69999999999999</v>
      </c>
      <c r="Z78">
        <v>146.9</v>
      </c>
      <c r="AA78">
        <v>124.9</v>
      </c>
      <c r="AB78">
        <v>139.19999999999999</v>
      </c>
      <c r="AC78">
        <v>151.6</v>
      </c>
      <c r="AD78">
        <v>133.4</v>
      </c>
      <c r="AE78">
        <v>138.19999999999999</v>
      </c>
      <c r="AF78">
        <v>142</v>
      </c>
    </row>
    <row r="79" spans="1:32">
      <c r="A79" t="s">
        <v>35</v>
      </c>
      <c r="B79">
        <v>2019</v>
      </c>
      <c r="C79" t="s">
        <v>42</v>
      </c>
      <c r="D79">
        <v>6</v>
      </c>
      <c r="E79" s="1">
        <v>43617</v>
      </c>
      <c r="F79">
        <v>138.69999999999999</v>
      </c>
      <c r="G79">
        <v>162.1</v>
      </c>
      <c r="H79">
        <v>137.80000000000001</v>
      </c>
      <c r="I79">
        <v>143.30000000000001</v>
      </c>
      <c r="J79">
        <v>122.2</v>
      </c>
      <c r="K79">
        <v>146.80000000000001</v>
      </c>
      <c r="L79">
        <v>150.5</v>
      </c>
      <c r="M79">
        <v>128.30000000000001</v>
      </c>
      <c r="N79">
        <v>111</v>
      </c>
      <c r="O79">
        <v>140.6</v>
      </c>
      <c r="P79">
        <v>134.19999999999999</v>
      </c>
      <c r="Q79">
        <v>155.9</v>
      </c>
      <c r="R79">
        <v>142.69999999999999</v>
      </c>
      <c r="S79">
        <v>164.9</v>
      </c>
      <c r="T79">
        <v>148.6</v>
      </c>
      <c r="U79">
        <v>140.4</v>
      </c>
      <c r="V79">
        <v>147.4</v>
      </c>
      <c r="W79">
        <v>149.4</v>
      </c>
      <c r="X79">
        <v>141.19999999999999</v>
      </c>
      <c r="Y79">
        <v>143.80000000000001</v>
      </c>
      <c r="Z79">
        <v>147.4</v>
      </c>
      <c r="AA79">
        <v>124.6</v>
      </c>
      <c r="AB79">
        <v>139.6</v>
      </c>
      <c r="AC79">
        <v>152.5</v>
      </c>
      <c r="AD79">
        <v>134.30000000000001</v>
      </c>
      <c r="AE79">
        <v>138.6</v>
      </c>
      <c r="AF79">
        <v>142.9</v>
      </c>
    </row>
    <row r="80" spans="1:32">
      <c r="A80" t="s">
        <v>35</v>
      </c>
      <c r="B80">
        <v>2019</v>
      </c>
      <c r="C80" t="s">
        <v>44</v>
      </c>
      <c r="D80">
        <v>7</v>
      </c>
      <c r="E80" s="1">
        <v>43647</v>
      </c>
      <c r="F80">
        <v>139.30000000000001</v>
      </c>
      <c r="G80">
        <v>162.69999999999999</v>
      </c>
      <c r="H80">
        <v>140</v>
      </c>
      <c r="I80">
        <v>144</v>
      </c>
      <c r="J80">
        <v>122.5</v>
      </c>
      <c r="K80">
        <v>150.30000000000001</v>
      </c>
      <c r="L80">
        <v>160.30000000000001</v>
      </c>
      <c r="M80">
        <v>130</v>
      </c>
      <c r="N80">
        <v>111.1</v>
      </c>
      <c r="O80">
        <v>141.69999999999999</v>
      </c>
      <c r="P80">
        <v>134.69999999999999</v>
      </c>
      <c r="Q80">
        <v>156.19999999999999</v>
      </c>
      <c r="R80">
        <v>144.69999999999999</v>
      </c>
      <c r="S80">
        <v>165.2</v>
      </c>
      <c r="T80">
        <v>148.9</v>
      </c>
      <c r="U80">
        <v>140.5</v>
      </c>
      <c r="V80">
        <v>147.6</v>
      </c>
      <c r="W80">
        <v>150.6</v>
      </c>
      <c r="X80">
        <v>139.30000000000001</v>
      </c>
      <c r="Y80">
        <v>144.19999999999999</v>
      </c>
      <c r="Z80">
        <v>147.9</v>
      </c>
      <c r="AA80">
        <v>125.6</v>
      </c>
      <c r="AB80">
        <v>140.5</v>
      </c>
      <c r="AC80">
        <v>154</v>
      </c>
      <c r="AD80">
        <v>135.69999999999999</v>
      </c>
      <c r="AE80">
        <v>139.5</v>
      </c>
      <c r="AF80">
        <v>144.19999999999999</v>
      </c>
    </row>
    <row r="81" spans="1:32">
      <c r="A81" t="s">
        <v>35</v>
      </c>
      <c r="B81">
        <v>2019</v>
      </c>
      <c r="C81" t="s">
        <v>46</v>
      </c>
      <c r="D81">
        <v>8</v>
      </c>
      <c r="E81" s="1">
        <v>43678</v>
      </c>
      <c r="F81">
        <v>140.1</v>
      </c>
      <c r="G81">
        <v>160.6</v>
      </c>
      <c r="H81">
        <v>138.5</v>
      </c>
      <c r="I81">
        <v>144.69999999999999</v>
      </c>
      <c r="J81">
        <v>122.9</v>
      </c>
      <c r="K81">
        <v>149.4</v>
      </c>
      <c r="L81">
        <v>167.4</v>
      </c>
      <c r="M81">
        <v>130.9</v>
      </c>
      <c r="N81">
        <v>112</v>
      </c>
      <c r="O81">
        <v>142.6</v>
      </c>
      <c r="P81">
        <v>134.9</v>
      </c>
      <c r="Q81">
        <v>156.6</v>
      </c>
      <c r="R81">
        <v>145.9</v>
      </c>
      <c r="S81">
        <v>165.8</v>
      </c>
      <c r="T81">
        <v>149.1</v>
      </c>
      <c r="U81">
        <v>140.6</v>
      </c>
      <c r="V81">
        <v>147.9</v>
      </c>
      <c r="W81">
        <v>151.6</v>
      </c>
      <c r="X81">
        <v>138.5</v>
      </c>
      <c r="Y81">
        <v>144.5</v>
      </c>
      <c r="Z81">
        <v>148.5</v>
      </c>
      <c r="AA81">
        <v>125.8</v>
      </c>
      <c r="AB81">
        <v>140.9</v>
      </c>
      <c r="AC81">
        <v>154.9</v>
      </c>
      <c r="AD81">
        <v>138.4</v>
      </c>
      <c r="AE81">
        <v>140.19999999999999</v>
      </c>
      <c r="AF81">
        <v>145</v>
      </c>
    </row>
    <row r="82" spans="1:32">
      <c r="A82" t="s">
        <v>35</v>
      </c>
      <c r="B82">
        <v>2019</v>
      </c>
      <c r="C82" t="s">
        <v>48</v>
      </c>
      <c r="D82">
        <v>9</v>
      </c>
      <c r="E82" s="1">
        <v>43709</v>
      </c>
      <c r="F82">
        <v>140.9</v>
      </c>
      <c r="G82">
        <v>160.80000000000001</v>
      </c>
      <c r="H82">
        <v>139.6</v>
      </c>
      <c r="I82">
        <v>145.4</v>
      </c>
      <c r="J82">
        <v>123.5</v>
      </c>
      <c r="K82">
        <v>146.6</v>
      </c>
      <c r="L82">
        <v>173.2</v>
      </c>
      <c r="M82">
        <v>131.6</v>
      </c>
      <c r="N82">
        <v>113.2</v>
      </c>
      <c r="O82">
        <v>144.1</v>
      </c>
      <c r="P82">
        <v>135</v>
      </c>
      <c r="Q82">
        <v>156.80000000000001</v>
      </c>
      <c r="R82">
        <v>147</v>
      </c>
      <c r="S82">
        <v>166.5</v>
      </c>
      <c r="T82">
        <v>149.19999999999999</v>
      </c>
      <c r="U82">
        <v>140.6</v>
      </c>
      <c r="V82">
        <v>147.9</v>
      </c>
      <c r="W82">
        <v>152.19999999999999</v>
      </c>
      <c r="X82">
        <v>139.19999999999999</v>
      </c>
      <c r="Y82">
        <v>144.6</v>
      </c>
      <c r="Z82">
        <v>149</v>
      </c>
      <c r="AA82">
        <v>126.1</v>
      </c>
      <c r="AB82">
        <v>141.30000000000001</v>
      </c>
      <c r="AC82">
        <v>155.19999999999999</v>
      </c>
      <c r="AD82">
        <v>139.69999999999999</v>
      </c>
      <c r="AE82">
        <v>140.69999999999999</v>
      </c>
      <c r="AF82">
        <v>145.80000000000001</v>
      </c>
    </row>
    <row r="83" spans="1:32">
      <c r="A83" t="s">
        <v>35</v>
      </c>
      <c r="B83">
        <v>2019</v>
      </c>
      <c r="C83" t="s">
        <v>50</v>
      </c>
      <c r="D83">
        <v>10</v>
      </c>
      <c r="E83" s="1">
        <v>43739</v>
      </c>
      <c r="F83">
        <v>141.80000000000001</v>
      </c>
      <c r="G83">
        <v>161</v>
      </c>
      <c r="H83">
        <v>142.6</v>
      </c>
      <c r="I83">
        <v>146.19999999999999</v>
      </c>
      <c r="J83">
        <v>123.9</v>
      </c>
      <c r="K83">
        <v>148</v>
      </c>
      <c r="L83">
        <v>188.4</v>
      </c>
      <c r="M83">
        <v>132.5</v>
      </c>
      <c r="N83">
        <v>114</v>
      </c>
      <c r="O83">
        <v>145.4</v>
      </c>
      <c r="P83">
        <v>135.1</v>
      </c>
      <c r="Q83">
        <v>157.1</v>
      </c>
      <c r="R83">
        <v>149.6</v>
      </c>
      <c r="S83">
        <v>167.1</v>
      </c>
      <c r="T83">
        <v>149.4</v>
      </c>
      <c r="U83">
        <v>140.80000000000001</v>
      </c>
      <c r="V83">
        <v>148.19999999999999</v>
      </c>
      <c r="W83">
        <v>153</v>
      </c>
      <c r="X83">
        <v>140.6</v>
      </c>
      <c r="Y83">
        <v>145</v>
      </c>
      <c r="Z83">
        <v>149.4</v>
      </c>
      <c r="AA83">
        <v>126.3</v>
      </c>
      <c r="AB83">
        <v>141.69999999999999</v>
      </c>
      <c r="AC83">
        <v>155.4</v>
      </c>
      <c r="AD83">
        <v>140</v>
      </c>
      <c r="AE83">
        <v>141</v>
      </c>
      <c r="AF83">
        <v>147.19999999999999</v>
      </c>
    </row>
    <row r="84" spans="1:32">
      <c r="A84" t="s">
        <v>35</v>
      </c>
      <c r="B84">
        <v>2019</v>
      </c>
      <c r="C84" t="s">
        <v>53</v>
      </c>
      <c r="D84">
        <v>11</v>
      </c>
      <c r="E84" s="1">
        <v>43770</v>
      </c>
      <c r="F84">
        <v>142.5</v>
      </c>
      <c r="G84">
        <v>163.19999999999999</v>
      </c>
      <c r="H84">
        <v>145.6</v>
      </c>
      <c r="I84">
        <v>146.69999999999999</v>
      </c>
      <c r="J84">
        <v>124.3</v>
      </c>
      <c r="K84">
        <v>147.4</v>
      </c>
      <c r="L84">
        <v>199.6</v>
      </c>
      <c r="M84">
        <v>135.69999999999999</v>
      </c>
      <c r="N84">
        <v>114.2</v>
      </c>
      <c r="O84">
        <v>147</v>
      </c>
      <c r="P84">
        <v>135.30000000000001</v>
      </c>
      <c r="Q84">
        <v>157.5</v>
      </c>
      <c r="R84">
        <v>151.9</v>
      </c>
      <c r="S84">
        <v>167.9</v>
      </c>
      <c r="T84">
        <v>149.9</v>
      </c>
      <c r="U84">
        <v>141</v>
      </c>
      <c r="V84">
        <v>148.6</v>
      </c>
      <c r="W84">
        <v>153.5</v>
      </c>
      <c r="X84">
        <v>142.30000000000001</v>
      </c>
      <c r="Y84">
        <v>145.30000000000001</v>
      </c>
      <c r="Z84">
        <v>149.9</v>
      </c>
      <c r="AA84">
        <v>126.6</v>
      </c>
      <c r="AB84">
        <v>142.1</v>
      </c>
      <c r="AC84">
        <v>155.5</v>
      </c>
      <c r="AD84">
        <v>140.30000000000001</v>
      </c>
      <c r="AE84">
        <v>141.30000000000001</v>
      </c>
      <c r="AF84">
        <v>148.6</v>
      </c>
    </row>
    <row r="85" spans="1:32">
      <c r="A85" t="s">
        <v>35</v>
      </c>
      <c r="B85">
        <v>2019</v>
      </c>
      <c r="C85" t="s">
        <v>55</v>
      </c>
      <c r="D85">
        <v>12</v>
      </c>
      <c r="E85" s="1">
        <v>43800</v>
      </c>
      <c r="F85">
        <v>143.5</v>
      </c>
      <c r="G85">
        <v>165</v>
      </c>
      <c r="H85">
        <v>151.1</v>
      </c>
      <c r="I85">
        <v>148.30000000000001</v>
      </c>
      <c r="J85">
        <v>125.7</v>
      </c>
      <c r="K85">
        <v>145.69999999999999</v>
      </c>
      <c r="L85">
        <v>217</v>
      </c>
      <c r="M85">
        <v>138.30000000000001</v>
      </c>
      <c r="N85">
        <v>114</v>
      </c>
      <c r="O85">
        <v>148.69999999999999</v>
      </c>
      <c r="P85">
        <v>135.80000000000001</v>
      </c>
      <c r="Q85">
        <v>158</v>
      </c>
      <c r="R85">
        <v>155</v>
      </c>
      <c r="S85">
        <v>168.5</v>
      </c>
      <c r="T85">
        <v>150.30000000000001</v>
      </c>
      <c r="U85">
        <v>141.30000000000001</v>
      </c>
      <c r="V85">
        <v>149</v>
      </c>
      <c r="W85">
        <v>152.80000000000001</v>
      </c>
      <c r="X85">
        <v>143.69999999999999</v>
      </c>
      <c r="Y85">
        <v>145.80000000000001</v>
      </c>
      <c r="Z85">
        <v>150.4</v>
      </c>
      <c r="AA85">
        <v>129.80000000000001</v>
      </c>
      <c r="AB85">
        <v>142.30000000000001</v>
      </c>
      <c r="AC85">
        <v>155.69999999999999</v>
      </c>
      <c r="AD85">
        <v>140.4</v>
      </c>
      <c r="AE85">
        <v>142.5</v>
      </c>
      <c r="AF85">
        <v>150.4</v>
      </c>
    </row>
    <row r="86" spans="1:32">
      <c r="A86" t="s">
        <v>35</v>
      </c>
      <c r="B86">
        <v>2020</v>
      </c>
      <c r="C86" t="s">
        <v>31</v>
      </c>
      <c r="D86">
        <v>1</v>
      </c>
      <c r="E86" s="1">
        <v>43831</v>
      </c>
      <c r="F86">
        <v>144.30000000000001</v>
      </c>
      <c r="G86">
        <v>167.4</v>
      </c>
      <c r="H86">
        <v>154.9</v>
      </c>
      <c r="I86">
        <v>150.1</v>
      </c>
      <c r="J86">
        <v>129.9</v>
      </c>
      <c r="K86">
        <v>143.19999999999999</v>
      </c>
      <c r="L86">
        <v>197</v>
      </c>
      <c r="M86">
        <v>140.4</v>
      </c>
      <c r="N86">
        <v>114.1</v>
      </c>
      <c r="O86">
        <v>150.9</v>
      </c>
      <c r="P86">
        <v>136.1</v>
      </c>
      <c r="Q86">
        <v>158.6</v>
      </c>
      <c r="R86">
        <v>153.5</v>
      </c>
      <c r="S86">
        <v>169.2</v>
      </c>
      <c r="T86">
        <v>150.5</v>
      </c>
      <c r="U86">
        <v>141.5</v>
      </c>
      <c r="V86">
        <v>149.19999999999999</v>
      </c>
      <c r="W86">
        <v>153.9</v>
      </c>
      <c r="X86">
        <v>144.6</v>
      </c>
      <c r="Y86">
        <v>146.19999999999999</v>
      </c>
      <c r="Z86">
        <v>151.19999999999999</v>
      </c>
      <c r="AA86">
        <v>130.9</v>
      </c>
      <c r="AB86">
        <v>142.80000000000001</v>
      </c>
      <c r="AC86">
        <v>156.1</v>
      </c>
      <c r="AD86">
        <v>142.30000000000001</v>
      </c>
      <c r="AE86">
        <v>143.4</v>
      </c>
      <c r="AF86">
        <v>150.19999999999999</v>
      </c>
    </row>
    <row r="87" spans="1:32">
      <c r="A87" t="s">
        <v>35</v>
      </c>
      <c r="B87">
        <v>2020</v>
      </c>
      <c r="C87" t="s">
        <v>36</v>
      </c>
      <c r="D87">
        <v>2</v>
      </c>
      <c r="E87" s="1">
        <v>43862</v>
      </c>
      <c r="F87">
        <v>144.80000000000001</v>
      </c>
      <c r="G87">
        <v>167.5</v>
      </c>
      <c r="H87">
        <v>151.80000000000001</v>
      </c>
      <c r="I87">
        <v>150.80000000000001</v>
      </c>
      <c r="J87">
        <v>131.4</v>
      </c>
      <c r="K87">
        <v>141.80000000000001</v>
      </c>
      <c r="L87">
        <v>170.7</v>
      </c>
      <c r="M87">
        <v>141.1</v>
      </c>
      <c r="N87">
        <v>113.6</v>
      </c>
      <c r="O87">
        <v>152</v>
      </c>
      <c r="P87">
        <v>136.5</v>
      </c>
      <c r="Q87">
        <v>159.1</v>
      </c>
      <c r="R87">
        <v>150.5</v>
      </c>
      <c r="S87">
        <v>170.1</v>
      </c>
      <c r="T87">
        <v>150.80000000000001</v>
      </c>
      <c r="U87">
        <v>141.69999999999999</v>
      </c>
      <c r="V87">
        <v>149.5</v>
      </c>
      <c r="W87">
        <v>154.80000000000001</v>
      </c>
      <c r="X87">
        <v>147.19999999999999</v>
      </c>
      <c r="Y87">
        <v>146.4</v>
      </c>
      <c r="Z87">
        <v>151.69999999999999</v>
      </c>
      <c r="AA87">
        <v>130.30000000000001</v>
      </c>
      <c r="AB87">
        <v>143.19999999999999</v>
      </c>
      <c r="AC87">
        <v>156.19999999999999</v>
      </c>
      <c r="AD87">
        <v>143.4</v>
      </c>
      <c r="AE87">
        <v>143.6</v>
      </c>
      <c r="AF87">
        <v>149.1</v>
      </c>
    </row>
    <row r="88" spans="1:32">
      <c r="A88" t="s">
        <v>35</v>
      </c>
      <c r="B88">
        <v>2020</v>
      </c>
      <c r="C88" t="s">
        <v>38</v>
      </c>
      <c r="D88">
        <v>3</v>
      </c>
      <c r="E88" s="1">
        <v>43891</v>
      </c>
      <c r="F88">
        <v>145.1</v>
      </c>
      <c r="G88">
        <v>167</v>
      </c>
      <c r="H88">
        <v>148.1</v>
      </c>
      <c r="I88">
        <v>151.5</v>
      </c>
      <c r="J88">
        <v>131.19999999999999</v>
      </c>
      <c r="K88">
        <v>142.5</v>
      </c>
      <c r="L88">
        <v>157.30000000000001</v>
      </c>
      <c r="M88">
        <v>141.1</v>
      </c>
      <c r="N88">
        <v>113.2</v>
      </c>
      <c r="O88">
        <v>153.19999999999999</v>
      </c>
      <c r="P88">
        <v>136.69999999999999</v>
      </c>
      <c r="Q88">
        <v>159.6</v>
      </c>
      <c r="R88">
        <v>148.9</v>
      </c>
      <c r="S88">
        <v>171.2</v>
      </c>
      <c r="T88">
        <v>151.19999999999999</v>
      </c>
      <c r="U88">
        <v>141.9</v>
      </c>
      <c r="V88">
        <v>149.80000000000001</v>
      </c>
      <c r="W88">
        <v>154.5</v>
      </c>
      <c r="X88">
        <v>148.9</v>
      </c>
      <c r="Y88">
        <v>146.4</v>
      </c>
      <c r="Z88">
        <v>152.30000000000001</v>
      </c>
      <c r="AA88">
        <v>129.9</v>
      </c>
      <c r="AB88">
        <v>143.69999999999999</v>
      </c>
      <c r="AC88">
        <v>156.1</v>
      </c>
      <c r="AD88">
        <v>145.19999999999999</v>
      </c>
      <c r="AE88">
        <v>143.80000000000001</v>
      </c>
      <c r="AF88">
        <v>148.6</v>
      </c>
    </row>
    <row r="89" spans="1:32">
      <c r="A89" t="s">
        <v>35</v>
      </c>
      <c r="B89">
        <v>2020</v>
      </c>
      <c r="C89" t="s">
        <v>39</v>
      </c>
      <c r="D89">
        <v>4</v>
      </c>
      <c r="E89" s="1">
        <v>43922</v>
      </c>
      <c r="F89">
        <v>148.69999999999999</v>
      </c>
      <c r="G89">
        <v>175.6</v>
      </c>
      <c r="H89">
        <v>148.80000000000001</v>
      </c>
      <c r="I89">
        <v>155.6</v>
      </c>
      <c r="J89">
        <v>135.1</v>
      </c>
      <c r="K89">
        <v>149.9</v>
      </c>
      <c r="L89">
        <v>168.6</v>
      </c>
      <c r="M89">
        <v>150.4</v>
      </c>
      <c r="N89">
        <v>120.3</v>
      </c>
      <c r="O89">
        <v>157.1</v>
      </c>
      <c r="P89">
        <v>136.80000000000001</v>
      </c>
      <c r="Q89">
        <v>160.30000000000001</v>
      </c>
      <c r="R89">
        <v>151.4</v>
      </c>
      <c r="S89">
        <v>175.3</v>
      </c>
      <c r="T89">
        <v>151.6</v>
      </c>
      <c r="U89">
        <v>142.69999999999999</v>
      </c>
      <c r="V89">
        <v>150.30000000000001</v>
      </c>
      <c r="W89">
        <v>155.6</v>
      </c>
      <c r="X89">
        <v>144.1</v>
      </c>
      <c r="Y89">
        <v>146.4</v>
      </c>
      <c r="Z89">
        <v>150.69999999999999</v>
      </c>
      <c r="AA89">
        <v>131.6</v>
      </c>
      <c r="AB89">
        <v>145.19999999999999</v>
      </c>
      <c r="AC89">
        <v>156.19999999999999</v>
      </c>
      <c r="AD89">
        <v>147.30000000000001</v>
      </c>
      <c r="AE89">
        <v>144.9</v>
      </c>
      <c r="AF89">
        <v>149.69999999999999</v>
      </c>
    </row>
    <row r="90" spans="1:32">
      <c r="A90" t="s">
        <v>35</v>
      </c>
      <c r="B90">
        <v>2020</v>
      </c>
      <c r="C90" t="s">
        <v>41</v>
      </c>
      <c r="D90">
        <v>5</v>
      </c>
      <c r="E90" s="1">
        <v>43952</v>
      </c>
      <c r="F90">
        <v>149.19999999999999</v>
      </c>
      <c r="G90">
        <v>184.1</v>
      </c>
      <c r="H90">
        <v>150.1</v>
      </c>
      <c r="I90">
        <v>154.4</v>
      </c>
      <c r="J90">
        <v>135.69999999999999</v>
      </c>
      <c r="K90">
        <v>148.6</v>
      </c>
      <c r="L90">
        <v>162.6</v>
      </c>
      <c r="M90">
        <v>150.6</v>
      </c>
      <c r="N90">
        <v>117.2</v>
      </c>
      <c r="O90">
        <v>158.30000000000001</v>
      </c>
      <c r="P90">
        <v>138.1</v>
      </c>
      <c r="Q90">
        <v>161.1</v>
      </c>
      <c r="R90">
        <v>152.69999999999999</v>
      </c>
      <c r="S90">
        <v>179.4</v>
      </c>
      <c r="T90">
        <v>152.1</v>
      </c>
      <c r="U90">
        <v>143.6</v>
      </c>
      <c r="V90">
        <v>150.9</v>
      </c>
      <c r="W90">
        <v>155.19999999999999</v>
      </c>
      <c r="X90">
        <v>143</v>
      </c>
      <c r="Y90">
        <v>146.4</v>
      </c>
      <c r="Z90">
        <v>152.6</v>
      </c>
      <c r="AA90">
        <v>133.30000000000001</v>
      </c>
      <c r="AB90">
        <v>146.80000000000001</v>
      </c>
      <c r="AC90">
        <v>156.30000000000001</v>
      </c>
      <c r="AD90">
        <v>149.5</v>
      </c>
      <c r="AE90">
        <v>145.9</v>
      </c>
      <c r="AF90">
        <v>150.69999999999999</v>
      </c>
    </row>
    <row r="91" spans="1:32">
      <c r="A91" t="s">
        <v>35</v>
      </c>
      <c r="B91">
        <v>2020</v>
      </c>
      <c r="C91" t="s">
        <v>42</v>
      </c>
      <c r="D91">
        <v>6</v>
      </c>
      <c r="E91" s="1">
        <v>43983</v>
      </c>
      <c r="F91">
        <v>149.6</v>
      </c>
      <c r="G91">
        <v>192.7</v>
      </c>
      <c r="H91">
        <v>151.4</v>
      </c>
      <c r="I91">
        <v>153.30000000000001</v>
      </c>
      <c r="J91">
        <v>136.30000000000001</v>
      </c>
      <c r="K91">
        <v>147.19999999999999</v>
      </c>
      <c r="L91">
        <v>156.5</v>
      </c>
      <c r="M91">
        <v>150.9</v>
      </c>
      <c r="N91">
        <v>114.2</v>
      </c>
      <c r="O91">
        <v>159.5</v>
      </c>
      <c r="P91">
        <v>139.4</v>
      </c>
      <c r="Q91">
        <v>161.80000000000001</v>
      </c>
      <c r="R91">
        <v>154</v>
      </c>
      <c r="S91">
        <v>183.5</v>
      </c>
      <c r="T91">
        <v>152.5</v>
      </c>
      <c r="U91">
        <v>144.4</v>
      </c>
      <c r="V91">
        <v>151.4</v>
      </c>
      <c r="W91">
        <v>154.69999999999999</v>
      </c>
      <c r="X91">
        <v>141.9</v>
      </c>
      <c r="Y91">
        <v>146.4</v>
      </c>
      <c r="Z91">
        <v>154.4</v>
      </c>
      <c r="AA91">
        <v>135</v>
      </c>
      <c r="AB91">
        <v>148.30000000000001</v>
      </c>
      <c r="AC91">
        <v>156.4</v>
      </c>
      <c r="AD91">
        <v>151.6</v>
      </c>
      <c r="AE91">
        <v>147</v>
      </c>
      <c r="AF91">
        <v>151.80000000000001</v>
      </c>
    </row>
    <row r="92" spans="1:32">
      <c r="A92" t="s">
        <v>35</v>
      </c>
      <c r="B92">
        <v>2020</v>
      </c>
      <c r="C92" t="s">
        <v>44</v>
      </c>
      <c r="D92">
        <v>7</v>
      </c>
      <c r="E92" s="1">
        <v>44013</v>
      </c>
      <c r="F92">
        <v>149.6</v>
      </c>
      <c r="G92">
        <v>192.7</v>
      </c>
      <c r="H92">
        <v>151.4</v>
      </c>
      <c r="I92">
        <v>153.30000000000001</v>
      </c>
      <c r="J92">
        <v>136.30000000000001</v>
      </c>
      <c r="K92">
        <v>147.19999999999999</v>
      </c>
      <c r="L92">
        <v>156.5</v>
      </c>
      <c r="M92">
        <v>150.9</v>
      </c>
      <c r="N92">
        <v>114.2</v>
      </c>
      <c r="O92">
        <v>159.5</v>
      </c>
      <c r="P92">
        <v>139.4</v>
      </c>
      <c r="Q92">
        <v>161.80000000000001</v>
      </c>
      <c r="R92">
        <v>154</v>
      </c>
      <c r="S92">
        <v>183.5</v>
      </c>
      <c r="T92">
        <v>152.5</v>
      </c>
      <c r="U92">
        <v>144.4</v>
      </c>
      <c r="V92">
        <v>151.4</v>
      </c>
      <c r="W92">
        <v>154.69999999999999</v>
      </c>
      <c r="X92">
        <v>141.9</v>
      </c>
      <c r="Y92">
        <v>146.4</v>
      </c>
      <c r="Z92">
        <v>154.4</v>
      </c>
      <c r="AA92">
        <v>135</v>
      </c>
      <c r="AB92">
        <v>148.30000000000001</v>
      </c>
      <c r="AC92">
        <v>156.4</v>
      </c>
      <c r="AD92">
        <v>151.6</v>
      </c>
      <c r="AE92">
        <v>147</v>
      </c>
      <c r="AF92">
        <v>151.80000000000001</v>
      </c>
    </row>
    <row r="93" spans="1:32">
      <c r="A93" t="s">
        <v>35</v>
      </c>
      <c r="B93">
        <v>2020</v>
      </c>
      <c r="C93" t="s">
        <v>46</v>
      </c>
      <c r="D93">
        <v>8</v>
      </c>
      <c r="E93" s="1">
        <v>44044</v>
      </c>
      <c r="F93">
        <v>148.9</v>
      </c>
      <c r="G93">
        <v>190.9</v>
      </c>
      <c r="H93">
        <v>150.80000000000001</v>
      </c>
      <c r="I93">
        <v>153.30000000000001</v>
      </c>
      <c r="J93">
        <v>137.4</v>
      </c>
      <c r="K93">
        <v>150.4</v>
      </c>
      <c r="L93">
        <v>178.1</v>
      </c>
      <c r="M93">
        <v>150.4</v>
      </c>
      <c r="N93">
        <v>115.1</v>
      </c>
      <c r="O93">
        <v>160</v>
      </c>
      <c r="P93">
        <v>140.6</v>
      </c>
      <c r="Q93">
        <v>162.30000000000001</v>
      </c>
      <c r="R93">
        <v>157</v>
      </c>
      <c r="S93">
        <v>182.6</v>
      </c>
      <c r="T93">
        <v>153.1</v>
      </c>
      <c r="U93">
        <v>143.4</v>
      </c>
      <c r="V93">
        <v>151.69999999999999</v>
      </c>
      <c r="W93">
        <v>155.5</v>
      </c>
      <c r="X93">
        <v>143</v>
      </c>
      <c r="Y93">
        <v>148.4</v>
      </c>
      <c r="Z93">
        <v>155</v>
      </c>
      <c r="AA93">
        <v>138.5</v>
      </c>
      <c r="AB93">
        <v>146</v>
      </c>
      <c r="AC93">
        <v>158.5</v>
      </c>
      <c r="AD93">
        <v>154.30000000000001</v>
      </c>
      <c r="AE93">
        <v>149</v>
      </c>
      <c r="AF93">
        <v>153.9</v>
      </c>
    </row>
    <row r="94" spans="1:32">
      <c r="A94" t="s">
        <v>35</v>
      </c>
      <c r="B94">
        <v>2020</v>
      </c>
      <c r="C94" t="s">
        <v>48</v>
      </c>
      <c r="D94">
        <v>9</v>
      </c>
      <c r="E94" s="1">
        <v>44075</v>
      </c>
      <c r="F94">
        <v>148.4</v>
      </c>
      <c r="G94">
        <v>187.1</v>
      </c>
      <c r="H94">
        <v>152.5</v>
      </c>
      <c r="I94">
        <v>153.6</v>
      </c>
      <c r="J94">
        <v>138.19999999999999</v>
      </c>
      <c r="K94">
        <v>150.9</v>
      </c>
      <c r="L94">
        <v>186.7</v>
      </c>
      <c r="M94">
        <v>149.80000000000001</v>
      </c>
      <c r="N94">
        <v>116.4</v>
      </c>
      <c r="O94">
        <v>160.30000000000001</v>
      </c>
      <c r="P94">
        <v>142.19999999999999</v>
      </c>
      <c r="Q94">
        <v>162.9</v>
      </c>
      <c r="R94">
        <v>158</v>
      </c>
      <c r="S94">
        <v>184.4</v>
      </c>
      <c r="T94">
        <v>153.4</v>
      </c>
      <c r="U94">
        <v>144.30000000000001</v>
      </c>
      <c r="V94">
        <v>152</v>
      </c>
      <c r="W94">
        <v>156.30000000000001</v>
      </c>
      <c r="X94">
        <v>142.9</v>
      </c>
      <c r="Y94">
        <v>148.69999999999999</v>
      </c>
      <c r="Z94">
        <v>155.6</v>
      </c>
      <c r="AA94">
        <v>139.6</v>
      </c>
      <c r="AB94">
        <v>146.6</v>
      </c>
      <c r="AC94">
        <v>157.5</v>
      </c>
      <c r="AD94">
        <v>158.4</v>
      </c>
      <c r="AE94">
        <v>150</v>
      </c>
      <c r="AF94">
        <v>154.69999999999999</v>
      </c>
    </row>
    <row r="95" spans="1:32">
      <c r="A95" t="s">
        <v>35</v>
      </c>
      <c r="B95">
        <v>2020</v>
      </c>
      <c r="C95" t="s">
        <v>50</v>
      </c>
      <c r="D95">
        <v>10</v>
      </c>
      <c r="E95" s="1">
        <v>44105</v>
      </c>
      <c r="F95">
        <v>147.5</v>
      </c>
      <c r="G95">
        <v>188.9</v>
      </c>
      <c r="H95">
        <v>161.4</v>
      </c>
      <c r="I95">
        <v>153.6</v>
      </c>
      <c r="J95">
        <v>140.1</v>
      </c>
      <c r="K95">
        <v>151.19999999999999</v>
      </c>
      <c r="L95">
        <v>209.2</v>
      </c>
      <c r="M95">
        <v>150.9</v>
      </c>
      <c r="N95">
        <v>116.2</v>
      </c>
      <c r="O95">
        <v>161</v>
      </c>
      <c r="P95">
        <v>144</v>
      </c>
      <c r="Q95">
        <v>163.19999999999999</v>
      </c>
      <c r="R95">
        <v>161.4</v>
      </c>
      <c r="S95">
        <v>184.3</v>
      </c>
      <c r="T95">
        <v>153.69999999999999</v>
      </c>
      <c r="U95">
        <v>144.6</v>
      </c>
      <c r="V95">
        <v>152.30000000000001</v>
      </c>
      <c r="W95">
        <v>156.5</v>
      </c>
      <c r="X95">
        <v>143.1</v>
      </c>
      <c r="Y95">
        <v>148.69999999999999</v>
      </c>
      <c r="Z95">
        <v>156.30000000000001</v>
      </c>
      <c r="AA95">
        <v>140.6</v>
      </c>
      <c r="AB95">
        <v>146.5</v>
      </c>
      <c r="AC95">
        <v>158.5</v>
      </c>
      <c r="AD95">
        <v>157</v>
      </c>
      <c r="AE95">
        <v>150.4</v>
      </c>
      <c r="AF95">
        <v>156.4</v>
      </c>
    </row>
    <row r="96" spans="1:32">
      <c r="A96" t="s">
        <v>35</v>
      </c>
      <c r="B96">
        <v>2020</v>
      </c>
      <c r="C96" t="s">
        <v>53</v>
      </c>
      <c r="D96">
        <v>11</v>
      </c>
      <c r="E96" s="1">
        <v>44136</v>
      </c>
      <c r="F96">
        <v>146.80000000000001</v>
      </c>
      <c r="G96">
        <v>191</v>
      </c>
      <c r="H96">
        <v>173.6</v>
      </c>
      <c r="I96">
        <v>153.80000000000001</v>
      </c>
      <c r="J96">
        <v>142.69999999999999</v>
      </c>
      <c r="K96">
        <v>148.4</v>
      </c>
      <c r="L96">
        <v>230</v>
      </c>
      <c r="M96">
        <v>156.80000000000001</v>
      </c>
      <c r="N96">
        <v>115.7</v>
      </c>
      <c r="O96">
        <v>161.80000000000001</v>
      </c>
      <c r="P96">
        <v>146.5</v>
      </c>
      <c r="Q96">
        <v>163.80000000000001</v>
      </c>
      <c r="R96">
        <v>164.7</v>
      </c>
      <c r="S96">
        <v>184.8</v>
      </c>
      <c r="T96">
        <v>154.30000000000001</v>
      </c>
      <c r="U96">
        <v>144.9</v>
      </c>
      <c r="V96">
        <v>152.80000000000001</v>
      </c>
      <c r="W96">
        <v>158</v>
      </c>
      <c r="X96">
        <v>143.6</v>
      </c>
      <c r="Y96">
        <v>149.19999999999999</v>
      </c>
      <c r="Z96">
        <v>157.19999999999999</v>
      </c>
      <c r="AA96">
        <v>140.4</v>
      </c>
      <c r="AB96">
        <v>148.4</v>
      </c>
      <c r="AC96">
        <v>158.6</v>
      </c>
      <c r="AD96">
        <v>156.9</v>
      </c>
      <c r="AE96">
        <v>150.69999999999999</v>
      </c>
      <c r="AF96">
        <v>158.4</v>
      </c>
    </row>
    <row r="97" spans="1:32">
      <c r="A97" t="s">
        <v>35</v>
      </c>
      <c r="B97">
        <v>2020</v>
      </c>
      <c r="C97" t="s">
        <v>55</v>
      </c>
      <c r="D97">
        <v>12</v>
      </c>
      <c r="E97" s="1">
        <v>44166</v>
      </c>
      <c r="F97">
        <v>146</v>
      </c>
      <c r="G97">
        <v>191</v>
      </c>
      <c r="H97">
        <v>175.3</v>
      </c>
      <c r="I97">
        <v>154.1</v>
      </c>
      <c r="J97">
        <v>146.6</v>
      </c>
      <c r="K97">
        <v>147.69999999999999</v>
      </c>
      <c r="L97">
        <v>230.5</v>
      </c>
      <c r="M97">
        <v>160.19999999999999</v>
      </c>
      <c r="N97">
        <v>115.3</v>
      </c>
      <c r="O97">
        <v>163</v>
      </c>
      <c r="P97">
        <v>149.19999999999999</v>
      </c>
      <c r="Q97">
        <v>164.8</v>
      </c>
      <c r="R97">
        <v>165.4</v>
      </c>
      <c r="S97">
        <v>185.4</v>
      </c>
      <c r="T97">
        <v>155</v>
      </c>
      <c r="U97">
        <v>145.4</v>
      </c>
      <c r="V97">
        <v>153.6</v>
      </c>
      <c r="W97">
        <v>158.4</v>
      </c>
      <c r="X97">
        <v>144.6</v>
      </c>
      <c r="Y97">
        <v>149.69999999999999</v>
      </c>
      <c r="Z97">
        <v>158.30000000000001</v>
      </c>
      <c r="AA97">
        <v>140.69999999999999</v>
      </c>
      <c r="AB97">
        <v>148.5</v>
      </c>
      <c r="AC97">
        <v>159.4</v>
      </c>
      <c r="AD97">
        <v>157.1</v>
      </c>
      <c r="AE97">
        <v>151.19999999999999</v>
      </c>
      <c r="AF97">
        <v>158.9</v>
      </c>
    </row>
    <row r="98" spans="1:32">
      <c r="A98" t="s">
        <v>35</v>
      </c>
      <c r="B98">
        <v>2021</v>
      </c>
      <c r="C98" t="s">
        <v>31</v>
      </c>
      <c r="D98">
        <v>1</v>
      </c>
      <c r="E98" s="1">
        <v>44197</v>
      </c>
      <c r="F98">
        <v>144.9</v>
      </c>
      <c r="G98">
        <v>190.1</v>
      </c>
      <c r="H98">
        <v>175.3</v>
      </c>
      <c r="I98">
        <v>154.1</v>
      </c>
      <c r="J98">
        <v>150.9</v>
      </c>
      <c r="K98">
        <v>149.6</v>
      </c>
      <c r="L98">
        <v>194.2</v>
      </c>
      <c r="M98">
        <v>160.4</v>
      </c>
      <c r="N98">
        <v>114.6</v>
      </c>
      <c r="O98">
        <v>164</v>
      </c>
      <c r="P98">
        <v>151.80000000000001</v>
      </c>
      <c r="Q98">
        <v>165.6</v>
      </c>
      <c r="R98">
        <v>161</v>
      </c>
      <c r="S98">
        <v>186.5</v>
      </c>
      <c r="T98">
        <v>155.5</v>
      </c>
      <c r="U98">
        <v>146.1</v>
      </c>
      <c r="V98">
        <v>154.19999999999999</v>
      </c>
      <c r="W98">
        <v>157.69999999999999</v>
      </c>
      <c r="X98">
        <v>147.9</v>
      </c>
      <c r="Y98">
        <v>150</v>
      </c>
      <c r="Z98">
        <v>159.30000000000001</v>
      </c>
      <c r="AA98">
        <v>141.9</v>
      </c>
      <c r="AB98">
        <v>149.6</v>
      </c>
      <c r="AC98">
        <v>159.19999999999999</v>
      </c>
      <c r="AD98">
        <v>156.80000000000001</v>
      </c>
      <c r="AE98">
        <v>151.9</v>
      </c>
      <c r="AF98">
        <v>157.30000000000001</v>
      </c>
    </row>
    <row r="99" spans="1:32">
      <c r="A99" t="s">
        <v>35</v>
      </c>
      <c r="B99">
        <v>2021</v>
      </c>
      <c r="C99" t="s">
        <v>36</v>
      </c>
      <c r="D99">
        <v>2</v>
      </c>
      <c r="E99" s="1">
        <v>44228</v>
      </c>
      <c r="F99">
        <v>144.30000000000001</v>
      </c>
      <c r="G99">
        <v>186.5</v>
      </c>
      <c r="H99">
        <v>168.7</v>
      </c>
      <c r="I99">
        <v>154.69999999999999</v>
      </c>
      <c r="J99">
        <v>158.69999999999999</v>
      </c>
      <c r="K99">
        <v>150.69999999999999</v>
      </c>
      <c r="L99">
        <v>160</v>
      </c>
      <c r="M99">
        <v>158.80000000000001</v>
      </c>
      <c r="N99">
        <v>112.8</v>
      </c>
      <c r="O99">
        <v>164.2</v>
      </c>
      <c r="P99">
        <v>155.5</v>
      </c>
      <c r="Q99">
        <v>167.5</v>
      </c>
      <c r="R99">
        <v>156.9</v>
      </c>
      <c r="S99">
        <v>188.3</v>
      </c>
      <c r="T99">
        <v>157.19999999999999</v>
      </c>
      <c r="U99">
        <v>147.4</v>
      </c>
      <c r="V99">
        <v>155.80000000000001</v>
      </c>
      <c r="W99">
        <v>159.80000000000001</v>
      </c>
      <c r="X99">
        <v>152.4</v>
      </c>
      <c r="Y99">
        <v>150.9</v>
      </c>
      <c r="Z99">
        <v>161.30000000000001</v>
      </c>
      <c r="AA99">
        <v>145.1</v>
      </c>
      <c r="AB99">
        <v>151.5</v>
      </c>
      <c r="AC99">
        <v>159.5</v>
      </c>
      <c r="AD99">
        <v>155.80000000000001</v>
      </c>
      <c r="AE99">
        <v>153.4</v>
      </c>
      <c r="AF99">
        <v>156.6</v>
      </c>
    </row>
    <row r="100" spans="1:32">
      <c r="A100" t="s">
        <v>35</v>
      </c>
      <c r="B100">
        <v>2021</v>
      </c>
      <c r="C100" t="s">
        <v>38</v>
      </c>
      <c r="D100">
        <v>3</v>
      </c>
      <c r="E100" s="1">
        <v>44256</v>
      </c>
      <c r="F100">
        <v>144.1</v>
      </c>
      <c r="G100">
        <v>192.2</v>
      </c>
      <c r="H100">
        <v>163.80000000000001</v>
      </c>
      <c r="I100">
        <v>154.9</v>
      </c>
      <c r="J100">
        <v>163.9</v>
      </c>
      <c r="K100">
        <v>153.69999999999999</v>
      </c>
      <c r="L100">
        <v>149.5</v>
      </c>
      <c r="M100">
        <v>159.80000000000001</v>
      </c>
      <c r="N100">
        <v>112.6</v>
      </c>
      <c r="O100">
        <v>163.5</v>
      </c>
      <c r="P100">
        <v>156.5</v>
      </c>
      <c r="Q100">
        <v>168.2</v>
      </c>
      <c r="R100">
        <v>156.69999999999999</v>
      </c>
      <c r="S100">
        <v>188.1</v>
      </c>
      <c r="T100">
        <v>157.80000000000001</v>
      </c>
      <c r="U100">
        <v>147.9</v>
      </c>
      <c r="V100">
        <v>156.4</v>
      </c>
      <c r="W100">
        <v>159.9</v>
      </c>
      <c r="X100">
        <v>155.5</v>
      </c>
      <c r="Y100">
        <v>151.19999999999999</v>
      </c>
      <c r="Z100">
        <v>161.69999999999999</v>
      </c>
      <c r="AA100">
        <v>146.19999999999999</v>
      </c>
      <c r="AB100">
        <v>152.6</v>
      </c>
      <c r="AC100">
        <v>160.19999999999999</v>
      </c>
      <c r="AD100">
        <v>153.80000000000001</v>
      </c>
      <c r="AE100">
        <v>153.80000000000001</v>
      </c>
      <c r="AF100">
        <v>156.80000000000001</v>
      </c>
    </row>
    <row r="101" spans="1:32">
      <c r="A101" t="s">
        <v>35</v>
      </c>
      <c r="B101">
        <v>2021</v>
      </c>
      <c r="C101" t="s">
        <v>39</v>
      </c>
      <c r="D101">
        <v>4</v>
      </c>
      <c r="E101" s="1">
        <v>44287</v>
      </c>
      <c r="F101">
        <v>144.30000000000001</v>
      </c>
      <c r="G101">
        <v>198</v>
      </c>
      <c r="H101">
        <v>164.6</v>
      </c>
      <c r="I101">
        <v>155.4</v>
      </c>
      <c r="J101">
        <v>170.1</v>
      </c>
      <c r="K101">
        <v>164.4</v>
      </c>
      <c r="L101">
        <v>144.1</v>
      </c>
      <c r="M101">
        <v>161.69999999999999</v>
      </c>
      <c r="N101">
        <v>113.1</v>
      </c>
      <c r="O101">
        <v>163.9</v>
      </c>
      <c r="P101">
        <v>157.6</v>
      </c>
      <c r="Q101">
        <v>168.9</v>
      </c>
      <c r="R101">
        <v>158</v>
      </c>
      <c r="S101">
        <v>188.8</v>
      </c>
      <c r="T101">
        <v>158.80000000000001</v>
      </c>
      <c r="U101">
        <v>148.5</v>
      </c>
      <c r="V101">
        <v>157.30000000000001</v>
      </c>
      <c r="W101">
        <v>161.4</v>
      </c>
      <c r="X101">
        <v>155.6</v>
      </c>
      <c r="Y101">
        <v>151.80000000000001</v>
      </c>
      <c r="Z101">
        <v>162.30000000000001</v>
      </c>
      <c r="AA101">
        <v>146.6</v>
      </c>
      <c r="AB101">
        <v>153.19999999999999</v>
      </c>
      <c r="AC101">
        <v>160.30000000000001</v>
      </c>
      <c r="AD101">
        <v>155.4</v>
      </c>
      <c r="AE101">
        <v>154.4</v>
      </c>
      <c r="AF101">
        <v>157.80000000000001</v>
      </c>
    </row>
    <row r="102" spans="1:32">
      <c r="A102" t="s">
        <v>35</v>
      </c>
      <c r="B102">
        <v>2021</v>
      </c>
      <c r="C102" t="s">
        <v>41</v>
      </c>
      <c r="D102">
        <v>5</v>
      </c>
      <c r="E102" s="1">
        <v>44317</v>
      </c>
      <c r="F102">
        <v>146.30000000000001</v>
      </c>
      <c r="G102">
        <v>200.5</v>
      </c>
      <c r="H102">
        <v>170.3</v>
      </c>
      <c r="I102">
        <v>156.1</v>
      </c>
      <c r="J102">
        <v>178.7</v>
      </c>
      <c r="K102">
        <v>167.1</v>
      </c>
      <c r="L102">
        <v>147.9</v>
      </c>
      <c r="M102">
        <v>165.4</v>
      </c>
      <c r="N102">
        <v>114.8</v>
      </c>
      <c r="O102">
        <v>168.2</v>
      </c>
      <c r="P102">
        <v>159.30000000000001</v>
      </c>
      <c r="Q102">
        <v>170.4</v>
      </c>
      <c r="R102">
        <v>160.69999999999999</v>
      </c>
      <c r="S102">
        <v>191.9</v>
      </c>
      <c r="T102">
        <v>161.80000000000001</v>
      </c>
      <c r="U102">
        <v>152.1</v>
      </c>
      <c r="V102">
        <v>160.4</v>
      </c>
      <c r="W102">
        <v>161.6</v>
      </c>
      <c r="X102">
        <v>159.4</v>
      </c>
      <c r="Y102">
        <v>154.69999999999999</v>
      </c>
      <c r="Z102">
        <v>165.8</v>
      </c>
      <c r="AA102">
        <v>148.9</v>
      </c>
      <c r="AB102">
        <v>155.80000000000001</v>
      </c>
      <c r="AC102">
        <v>161.19999999999999</v>
      </c>
      <c r="AD102">
        <v>158.6</v>
      </c>
      <c r="AE102">
        <v>156.80000000000001</v>
      </c>
      <c r="AF102">
        <v>160.4</v>
      </c>
    </row>
    <row r="103" spans="1:32">
      <c r="A103" t="s">
        <v>35</v>
      </c>
      <c r="B103">
        <v>2021</v>
      </c>
      <c r="C103" t="s">
        <v>42</v>
      </c>
      <c r="D103">
        <v>6</v>
      </c>
      <c r="E103" s="1">
        <v>44348</v>
      </c>
      <c r="F103">
        <v>146.69999999999999</v>
      </c>
      <c r="G103">
        <v>202</v>
      </c>
      <c r="H103">
        <v>180.7</v>
      </c>
      <c r="I103">
        <v>156.19999999999999</v>
      </c>
      <c r="J103">
        <v>183.7</v>
      </c>
      <c r="K103">
        <v>164.6</v>
      </c>
      <c r="L103">
        <v>155.4</v>
      </c>
      <c r="M103">
        <v>166</v>
      </c>
      <c r="N103">
        <v>115.1</v>
      </c>
      <c r="O103">
        <v>168.5</v>
      </c>
      <c r="P103">
        <v>160</v>
      </c>
      <c r="Q103">
        <v>172.4</v>
      </c>
      <c r="R103">
        <v>162.6</v>
      </c>
      <c r="S103">
        <v>190.8</v>
      </c>
      <c r="T103">
        <v>162.19999999999999</v>
      </c>
      <c r="U103">
        <v>151.80000000000001</v>
      </c>
      <c r="V103">
        <v>160.69999999999999</v>
      </c>
      <c r="W103">
        <v>160.5</v>
      </c>
      <c r="X103">
        <v>159.80000000000001</v>
      </c>
      <c r="Y103">
        <v>154.80000000000001</v>
      </c>
      <c r="Z103">
        <v>166.3</v>
      </c>
      <c r="AA103">
        <v>150.69999999999999</v>
      </c>
      <c r="AB103">
        <v>154.9</v>
      </c>
      <c r="AC103">
        <v>161.69999999999999</v>
      </c>
      <c r="AD103">
        <v>158.80000000000001</v>
      </c>
      <c r="AE103">
        <v>157.6</v>
      </c>
      <c r="AF103">
        <v>161.30000000000001</v>
      </c>
    </row>
    <row r="104" spans="1:32">
      <c r="A104" t="s">
        <v>35</v>
      </c>
      <c r="B104">
        <v>2021</v>
      </c>
      <c r="C104" t="s">
        <v>44</v>
      </c>
      <c r="D104">
        <v>7</v>
      </c>
      <c r="E104" s="1">
        <v>44378</v>
      </c>
      <c r="F104">
        <v>146.4</v>
      </c>
      <c r="G104">
        <v>206.8</v>
      </c>
      <c r="H104">
        <v>182.2</v>
      </c>
      <c r="I104">
        <v>157.5</v>
      </c>
      <c r="J104">
        <v>182.1</v>
      </c>
      <c r="K104">
        <v>163.9</v>
      </c>
      <c r="L104">
        <v>164.2</v>
      </c>
      <c r="M104">
        <v>164</v>
      </c>
      <c r="N104">
        <v>114.5</v>
      </c>
      <c r="O104">
        <v>168.3</v>
      </c>
      <c r="P104">
        <v>160.9</v>
      </c>
      <c r="Q104">
        <v>172.2</v>
      </c>
      <c r="R104">
        <v>164</v>
      </c>
      <c r="S104">
        <v>191.2</v>
      </c>
      <c r="T104">
        <v>162.80000000000001</v>
      </c>
      <c r="U104">
        <v>153.1</v>
      </c>
      <c r="V104">
        <v>161.4</v>
      </c>
      <c r="W104">
        <v>161.5</v>
      </c>
      <c r="X104">
        <v>160.69999999999999</v>
      </c>
      <c r="Y104">
        <v>155.80000000000001</v>
      </c>
      <c r="Z104">
        <v>167</v>
      </c>
      <c r="AA104">
        <v>153.1</v>
      </c>
      <c r="AB104">
        <v>155.30000000000001</v>
      </c>
      <c r="AC104">
        <v>163.19999999999999</v>
      </c>
      <c r="AD104">
        <v>160.1</v>
      </c>
      <c r="AE104">
        <v>159</v>
      </c>
      <c r="AF104">
        <v>162.5</v>
      </c>
    </row>
    <row r="105" spans="1:32">
      <c r="A105" t="s">
        <v>35</v>
      </c>
      <c r="B105">
        <v>2021</v>
      </c>
      <c r="C105" t="s">
        <v>46</v>
      </c>
      <c r="D105">
        <v>8</v>
      </c>
      <c r="E105" s="1">
        <v>44409</v>
      </c>
      <c r="F105">
        <v>146.6</v>
      </c>
      <c r="G105">
        <v>204</v>
      </c>
      <c r="H105">
        <v>172.8</v>
      </c>
      <c r="I105">
        <v>158.4</v>
      </c>
      <c r="J105">
        <v>188</v>
      </c>
      <c r="K105">
        <v>156.80000000000001</v>
      </c>
      <c r="L105">
        <v>162.19999999999999</v>
      </c>
      <c r="M105">
        <v>164.1</v>
      </c>
      <c r="N105">
        <v>119.7</v>
      </c>
      <c r="O105">
        <v>168.8</v>
      </c>
      <c r="P105">
        <v>162.69999999999999</v>
      </c>
      <c r="Q105">
        <v>173.9</v>
      </c>
      <c r="R105">
        <v>164</v>
      </c>
      <c r="S105">
        <v>192.1</v>
      </c>
      <c r="T105">
        <v>164.5</v>
      </c>
      <c r="U105">
        <v>155.30000000000001</v>
      </c>
      <c r="V105">
        <v>163.19999999999999</v>
      </c>
      <c r="W105">
        <v>162.1</v>
      </c>
      <c r="X105">
        <v>162.6</v>
      </c>
      <c r="Y105">
        <v>157.5</v>
      </c>
      <c r="Z105">
        <v>168.4</v>
      </c>
      <c r="AA105">
        <v>154</v>
      </c>
      <c r="AB105">
        <v>157.6</v>
      </c>
      <c r="AC105">
        <v>163.80000000000001</v>
      </c>
      <c r="AD105">
        <v>160</v>
      </c>
      <c r="AE105">
        <v>160</v>
      </c>
      <c r="AF105">
        <v>163.19999999999999</v>
      </c>
    </row>
    <row r="106" spans="1:32">
      <c r="A106" t="s">
        <v>35</v>
      </c>
      <c r="B106">
        <v>2021</v>
      </c>
      <c r="C106" t="s">
        <v>48</v>
      </c>
      <c r="D106">
        <v>9</v>
      </c>
      <c r="E106" s="1">
        <v>44440</v>
      </c>
      <c r="F106">
        <v>146.6</v>
      </c>
      <c r="G106">
        <v>204</v>
      </c>
      <c r="H106">
        <v>172.8</v>
      </c>
      <c r="I106">
        <v>158.4</v>
      </c>
      <c r="J106">
        <v>188</v>
      </c>
      <c r="K106">
        <v>156.69999999999999</v>
      </c>
      <c r="L106">
        <v>162.30000000000001</v>
      </c>
      <c r="M106">
        <v>164.1</v>
      </c>
      <c r="N106">
        <v>119.7</v>
      </c>
      <c r="O106">
        <v>168.8</v>
      </c>
      <c r="P106">
        <v>162.69999999999999</v>
      </c>
      <c r="Q106">
        <v>173.9</v>
      </c>
      <c r="R106">
        <v>164</v>
      </c>
      <c r="S106">
        <v>192.1</v>
      </c>
      <c r="T106">
        <v>164.6</v>
      </c>
      <c r="U106">
        <v>155.30000000000001</v>
      </c>
      <c r="V106">
        <v>163.30000000000001</v>
      </c>
      <c r="W106">
        <v>162.1</v>
      </c>
      <c r="X106">
        <v>162.6</v>
      </c>
      <c r="Y106">
        <v>157.5</v>
      </c>
      <c r="Z106">
        <v>168.4</v>
      </c>
      <c r="AA106">
        <v>154</v>
      </c>
      <c r="AB106">
        <v>157.69999999999999</v>
      </c>
      <c r="AC106">
        <v>163.69999999999999</v>
      </c>
      <c r="AD106">
        <v>160</v>
      </c>
      <c r="AE106">
        <v>160</v>
      </c>
      <c r="AF106">
        <v>163.19999999999999</v>
      </c>
    </row>
    <row r="107" spans="1:32">
      <c r="A107" t="s">
        <v>35</v>
      </c>
      <c r="B107">
        <v>2021</v>
      </c>
      <c r="C107" t="s">
        <v>50</v>
      </c>
      <c r="D107">
        <v>10</v>
      </c>
      <c r="E107" s="1">
        <v>44470</v>
      </c>
      <c r="F107">
        <v>147.4</v>
      </c>
      <c r="G107">
        <v>204.6</v>
      </c>
      <c r="H107">
        <v>171.2</v>
      </c>
      <c r="I107">
        <v>158.69999999999999</v>
      </c>
      <c r="J107">
        <v>190.6</v>
      </c>
      <c r="K107">
        <v>155.69999999999999</v>
      </c>
      <c r="L107">
        <v>185.3</v>
      </c>
      <c r="M107">
        <v>165.2</v>
      </c>
      <c r="N107">
        <v>121.9</v>
      </c>
      <c r="O107">
        <v>169.3</v>
      </c>
      <c r="P107">
        <v>163.19999999999999</v>
      </c>
      <c r="Q107">
        <v>174.7</v>
      </c>
      <c r="R107">
        <v>167.7</v>
      </c>
      <c r="S107">
        <v>192.7</v>
      </c>
      <c r="T107">
        <v>165.7</v>
      </c>
      <c r="U107">
        <v>156.30000000000001</v>
      </c>
      <c r="V107">
        <v>164.3</v>
      </c>
      <c r="W107">
        <v>163.6</v>
      </c>
      <c r="X107">
        <v>164.2</v>
      </c>
      <c r="Y107">
        <v>158.4</v>
      </c>
      <c r="Z107">
        <v>169.1</v>
      </c>
      <c r="AA107">
        <v>155.69999999999999</v>
      </c>
      <c r="AB107">
        <v>158.6</v>
      </c>
      <c r="AC107">
        <v>163.9</v>
      </c>
      <c r="AD107">
        <v>160.80000000000001</v>
      </c>
      <c r="AE107">
        <v>161</v>
      </c>
      <c r="AF107">
        <v>165.5</v>
      </c>
    </row>
    <row r="108" spans="1:32">
      <c r="A108" t="s">
        <v>35</v>
      </c>
      <c r="B108">
        <v>2021</v>
      </c>
      <c r="C108" t="s">
        <v>53</v>
      </c>
      <c r="D108">
        <v>11</v>
      </c>
      <c r="E108" s="1">
        <v>44501</v>
      </c>
      <c r="F108">
        <v>148.19999999999999</v>
      </c>
      <c r="G108">
        <v>201.6</v>
      </c>
      <c r="H108">
        <v>173</v>
      </c>
      <c r="I108">
        <v>159.30000000000001</v>
      </c>
      <c r="J108">
        <v>190.1</v>
      </c>
      <c r="K108">
        <v>156.5</v>
      </c>
      <c r="L108">
        <v>199.2</v>
      </c>
      <c r="M108">
        <v>165.3</v>
      </c>
      <c r="N108">
        <v>122.4</v>
      </c>
      <c r="O108">
        <v>169.6</v>
      </c>
      <c r="P108">
        <v>163.69999999999999</v>
      </c>
      <c r="Q108">
        <v>175.5</v>
      </c>
      <c r="R108">
        <v>169.7</v>
      </c>
      <c r="S108">
        <v>192.9</v>
      </c>
      <c r="T108">
        <v>167.2</v>
      </c>
      <c r="U108">
        <v>157.4</v>
      </c>
      <c r="V108">
        <v>165.8</v>
      </c>
      <c r="W108">
        <v>164.2</v>
      </c>
      <c r="X108">
        <v>163.9</v>
      </c>
      <c r="Y108">
        <v>159.30000000000001</v>
      </c>
      <c r="Z108">
        <v>169.9</v>
      </c>
      <c r="AA108">
        <v>154.80000000000001</v>
      </c>
      <c r="AB108">
        <v>159.80000000000001</v>
      </c>
      <c r="AC108">
        <v>164.3</v>
      </c>
      <c r="AD108">
        <v>162.19999999999999</v>
      </c>
      <c r="AE108">
        <v>161.4</v>
      </c>
      <c r="AF108">
        <v>166.7</v>
      </c>
    </row>
    <row r="109" spans="1:32">
      <c r="A109" t="s">
        <v>35</v>
      </c>
      <c r="B109">
        <v>2021</v>
      </c>
      <c r="C109" t="s">
        <v>55</v>
      </c>
      <c r="D109">
        <v>12</v>
      </c>
      <c r="E109" s="1">
        <v>44531</v>
      </c>
      <c r="F109">
        <v>148.69999999999999</v>
      </c>
      <c r="G109">
        <v>198.8</v>
      </c>
      <c r="H109">
        <v>177.9</v>
      </c>
      <c r="I109">
        <v>159.9</v>
      </c>
      <c r="J109">
        <v>187.6</v>
      </c>
      <c r="K109">
        <v>154.9</v>
      </c>
      <c r="L109">
        <v>188.3</v>
      </c>
      <c r="M109">
        <v>164.4</v>
      </c>
      <c r="N109">
        <v>121</v>
      </c>
      <c r="O109">
        <v>170.5</v>
      </c>
      <c r="P109">
        <v>164.2</v>
      </c>
      <c r="Q109">
        <v>176.5</v>
      </c>
      <c r="R109">
        <v>168.2</v>
      </c>
      <c r="S109">
        <v>192.4</v>
      </c>
      <c r="T109">
        <v>168.5</v>
      </c>
      <c r="U109">
        <v>158.69999999999999</v>
      </c>
      <c r="V109">
        <v>167</v>
      </c>
      <c r="W109">
        <v>163.4</v>
      </c>
      <c r="X109">
        <v>164.1</v>
      </c>
      <c r="Y109">
        <v>160.19999999999999</v>
      </c>
      <c r="Z109">
        <v>170.6</v>
      </c>
      <c r="AA109">
        <v>155.69999999999999</v>
      </c>
      <c r="AB109">
        <v>160.6</v>
      </c>
      <c r="AC109">
        <v>164.4</v>
      </c>
      <c r="AD109">
        <v>162.6</v>
      </c>
      <c r="AE109">
        <v>162</v>
      </c>
      <c r="AF109">
        <v>166.2</v>
      </c>
    </row>
    <row r="110" spans="1:32">
      <c r="A110" t="s">
        <v>35</v>
      </c>
      <c r="B110">
        <v>2022</v>
      </c>
      <c r="C110" t="s">
        <v>31</v>
      </c>
      <c r="D110">
        <v>1</v>
      </c>
      <c r="E110" s="1">
        <v>44562</v>
      </c>
      <c r="F110">
        <v>149.5</v>
      </c>
      <c r="G110">
        <v>198.7</v>
      </c>
      <c r="H110">
        <v>178.8</v>
      </c>
      <c r="I110">
        <v>160.5</v>
      </c>
      <c r="J110">
        <v>184.7</v>
      </c>
      <c r="K110">
        <v>153.69999999999999</v>
      </c>
      <c r="L110">
        <v>174.3</v>
      </c>
      <c r="M110">
        <v>163.9</v>
      </c>
      <c r="N110">
        <v>120</v>
      </c>
      <c r="O110">
        <v>172.1</v>
      </c>
      <c r="P110">
        <v>164.3</v>
      </c>
      <c r="Q110">
        <v>177.3</v>
      </c>
      <c r="R110">
        <v>166.4</v>
      </c>
      <c r="S110">
        <v>192.2</v>
      </c>
      <c r="T110">
        <v>169.9</v>
      </c>
      <c r="U110">
        <v>160.69999999999999</v>
      </c>
      <c r="V110">
        <v>168.5</v>
      </c>
      <c r="W110">
        <v>164.5</v>
      </c>
      <c r="X110">
        <v>164.2</v>
      </c>
      <c r="Y110">
        <v>161.1</v>
      </c>
      <c r="Z110">
        <v>171.4</v>
      </c>
      <c r="AA110">
        <v>156.5</v>
      </c>
      <c r="AB110">
        <v>161.19999999999999</v>
      </c>
      <c r="AC110">
        <v>164.7</v>
      </c>
      <c r="AD110">
        <v>163</v>
      </c>
      <c r="AE110">
        <v>162.69999999999999</v>
      </c>
      <c r="AF110">
        <v>165.7</v>
      </c>
    </row>
    <row r="111" spans="1:32">
      <c r="A111" t="s">
        <v>35</v>
      </c>
      <c r="B111">
        <v>2022</v>
      </c>
      <c r="C111" t="s">
        <v>36</v>
      </c>
      <c r="D111">
        <v>2</v>
      </c>
      <c r="E111" s="1">
        <v>44593</v>
      </c>
      <c r="F111">
        <v>150</v>
      </c>
      <c r="G111">
        <v>200.6</v>
      </c>
      <c r="H111">
        <v>175.8</v>
      </c>
      <c r="I111">
        <v>160.69999999999999</v>
      </c>
      <c r="J111">
        <v>184.9</v>
      </c>
      <c r="K111">
        <v>153.69999999999999</v>
      </c>
      <c r="L111">
        <v>169.7</v>
      </c>
      <c r="M111">
        <v>163.69999999999999</v>
      </c>
      <c r="N111">
        <v>118.9</v>
      </c>
      <c r="O111">
        <v>174.3</v>
      </c>
      <c r="P111">
        <v>164.7</v>
      </c>
      <c r="Q111">
        <v>178</v>
      </c>
      <c r="R111">
        <v>166.2</v>
      </c>
      <c r="S111">
        <v>192.8</v>
      </c>
      <c r="T111">
        <v>170.8</v>
      </c>
      <c r="U111">
        <v>162.4</v>
      </c>
      <c r="V111">
        <v>169.6</v>
      </c>
      <c r="W111">
        <v>165.5</v>
      </c>
      <c r="X111">
        <v>165.7</v>
      </c>
      <c r="Y111">
        <v>161.80000000000001</v>
      </c>
      <c r="Z111">
        <v>172.2</v>
      </c>
      <c r="AA111">
        <v>156.9</v>
      </c>
      <c r="AB111">
        <v>162.1</v>
      </c>
      <c r="AC111">
        <v>165.4</v>
      </c>
      <c r="AD111">
        <v>164.4</v>
      </c>
      <c r="AE111">
        <v>163.5</v>
      </c>
      <c r="AF111">
        <v>166.1</v>
      </c>
    </row>
    <row r="112" spans="1:32">
      <c r="A112" t="s">
        <v>35</v>
      </c>
      <c r="B112">
        <v>2022</v>
      </c>
      <c r="C112" t="s">
        <v>38</v>
      </c>
      <c r="D112">
        <v>3</v>
      </c>
      <c r="E112" s="1">
        <v>44621</v>
      </c>
      <c r="F112">
        <v>151.30000000000001</v>
      </c>
      <c r="G112">
        <v>210.7</v>
      </c>
      <c r="H112">
        <v>167.8</v>
      </c>
      <c r="I112">
        <v>162.19999999999999</v>
      </c>
      <c r="J112">
        <v>194.6</v>
      </c>
      <c r="K112">
        <v>157.6</v>
      </c>
      <c r="L112">
        <v>166.9</v>
      </c>
      <c r="M112">
        <v>163.9</v>
      </c>
      <c r="N112">
        <v>118.8</v>
      </c>
      <c r="O112">
        <v>177.4</v>
      </c>
      <c r="P112">
        <v>165.3</v>
      </c>
      <c r="Q112">
        <v>179.3</v>
      </c>
      <c r="R112">
        <v>168.4</v>
      </c>
      <c r="S112">
        <v>193.7</v>
      </c>
      <c r="T112">
        <v>172.1</v>
      </c>
      <c r="U112">
        <v>164.6</v>
      </c>
      <c r="V112">
        <v>171.1</v>
      </c>
      <c r="W112">
        <v>165.3</v>
      </c>
      <c r="X112">
        <v>167.2</v>
      </c>
      <c r="Y112">
        <v>162.80000000000001</v>
      </c>
      <c r="Z112">
        <v>173</v>
      </c>
      <c r="AA112">
        <v>157.9</v>
      </c>
      <c r="AB112">
        <v>163.30000000000001</v>
      </c>
      <c r="AC112">
        <v>166</v>
      </c>
      <c r="AD112">
        <v>167.2</v>
      </c>
      <c r="AE112">
        <v>164.6</v>
      </c>
      <c r="AF112">
        <v>167.7</v>
      </c>
    </row>
    <row r="113" spans="1:32">
      <c r="A113" t="s">
        <v>35</v>
      </c>
      <c r="B113">
        <v>2022</v>
      </c>
      <c r="C113" t="s">
        <v>39</v>
      </c>
      <c r="D113">
        <v>4</v>
      </c>
      <c r="E113" s="1">
        <v>44652</v>
      </c>
      <c r="F113">
        <v>152.9</v>
      </c>
      <c r="G113">
        <v>211.8</v>
      </c>
      <c r="H113">
        <v>164.5</v>
      </c>
      <c r="I113">
        <v>163.9</v>
      </c>
      <c r="J113">
        <v>199.5</v>
      </c>
      <c r="K113">
        <v>172.6</v>
      </c>
      <c r="L113">
        <v>166.2</v>
      </c>
      <c r="M113">
        <v>164.7</v>
      </c>
      <c r="N113">
        <v>119</v>
      </c>
      <c r="O113">
        <v>181.3</v>
      </c>
      <c r="P113">
        <v>166.2</v>
      </c>
      <c r="Q113">
        <v>180.9</v>
      </c>
      <c r="R113">
        <v>170.8</v>
      </c>
      <c r="S113">
        <v>193.9</v>
      </c>
      <c r="T113">
        <v>173.9</v>
      </c>
      <c r="U113">
        <v>166.5</v>
      </c>
      <c r="V113">
        <v>172.8</v>
      </c>
      <c r="W113">
        <v>167</v>
      </c>
      <c r="X113">
        <v>172.2</v>
      </c>
      <c r="Y113">
        <v>164</v>
      </c>
      <c r="Z113">
        <v>174</v>
      </c>
      <c r="AA113">
        <v>162.6</v>
      </c>
      <c r="AB113">
        <v>164.4</v>
      </c>
      <c r="AC113">
        <v>166.9</v>
      </c>
      <c r="AD113">
        <v>168.8</v>
      </c>
      <c r="AE113">
        <v>166.8</v>
      </c>
      <c r="AF113">
        <v>170.1</v>
      </c>
    </row>
    <row r="114" spans="1:32">
      <c r="A114" t="s">
        <v>35</v>
      </c>
      <c r="B114">
        <v>2022</v>
      </c>
      <c r="C114" t="s">
        <v>41</v>
      </c>
      <c r="D114">
        <v>5</v>
      </c>
      <c r="E114" s="1">
        <v>44682</v>
      </c>
      <c r="F114">
        <v>154.1</v>
      </c>
      <c r="G114">
        <v>217</v>
      </c>
      <c r="H114">
        <v>162.4</v>
      </c>
      <c r="I114">
        <v>164.9</v>
      </c>
      <c r="J114">
        <v>202.4</v>
      </c>
      <c r="K114">
        <v>171</v>
      </c>
      <c r="L114">
        <v>174.9</v>
      </c>
      <c r="M114">
        <v>164.7</v>
      </c>
      <c r="N114">
        <v>119.7</v>
      </c>
      <c r="O114">
        <v>184.9</v>
      </c>
      <c r="P114">
        <v>167.1</v>
      </c>
      <c r="Q114">
        <v>182.5</v>
      </c>
      <c r="R114">
        <v>173.3</v>
      </c>
      <c r="S114">
        <v>194.1</v>
      </c>
      <c r="T114">
        <v>175.6</v>
      </c>
      <c r="U114">
        <v>168.4</v>
      </c>
      <c r="V114">
        <v>174.6</v>
      </c>
      <c r="W114">
        <v>167.5</v>
      </c>
      <c r="X114">
        <v>174.6</v>
      </c>
      <c r="Y114">
        <v>165.2</v>
      </c>
      <c r="Z114">
        <v>174.8</v>
      </c>
      <c r="AA114">
        <v>163</v>
      </c>
      <c r="AB114">
        <v>165.1</v>
      </c>
      <c r="AC114">
        <v>167.9</v>
      </c>
      <c r="AD114">
        <v>168.4</v>
      </c>
      <c r="AE114">
        <v>167.5</v>
      </c>
      <c r="AF114">
        <v>171.7</v>
      </c>
    </row>
    <row r="115" spans="1:32">
      <c r="A115" t="s">
        <v>35</v>
      </c>
      <c r="B115">
        <v>2022</v>
      </c>
      <c r="C115" t="s">
        <v>42</v>
      </c>
      <c r="D115">
        <v>6</v>
      </c>
      <c r="E115" s="1">
        <v>44713</v>
      </c>
      <c r="F115">
        <v>155</v>
      </c>
      <c r="G115">
        <v>219.4</v>
      </c>
      <c r="H115">
        <v>170.8</v>
      </c>
      <c r="I115">
        <v>165.8</v>
      </c>
      <c r="J115">
        <v>200.9</v>
      </c>
      <c r="K115">
        <v>169.7</v>
      </c>
      <c r="L115">
        <v>182.3</v>
      </c>
      <c r="M115">
        <v>164.3</v>
      </c>
      <c r="N115">
        <v>119.9</v>
      </c>
      <c r="O115">
        <v>187.1</v>
      </c>
      <c r="P115">
        <v>167.9</v>
      </c>
      <c r="Q115">
        <v>183.9</v>
      </c>
      <c r="R115">
        <v>174.9</v>
      </c>
      <c r="S115">
        <v>194.3</v>
      </c>
      <c r="T115">
        <v>177.1</v>
      </c>
      <c r="U115">
        <v>169.9</v>
      </c>
      <c r="V115">
        <v>176</v>
      </c>
      <c r="W115">
        <v>166.8</v>
      </c>
      <c r="X115">
        <v>176</v>
      </c>
      <c r="Y115">
        <v>166.4</v>
      </c>
      <c r="Z115">
        <v>175.4</v>
      </c>
      <c r="AA115">
        <v>161.1</v>
      </c>
      <c r="AB115">
        <v>165.8</v>
      </c>
      <c r="AC115">
        <v>169</v>
      </c>
      <c r="AD115">
        <v>169.4</v>
      </c>
      <c r="AE115">
        <v>167.5</v>
      </c>
      <c r="AF115">
        <v>172.6</v>
      </c>
    </row>
    <row r="116" spans="1:32">
      <c r="A116" t="s">
        <v>35</v>
      </c>
      <c r="B116">
        <v>2022</v>
      </c>
      <c r="C116" t="s">
        <v>44</v>
      </c>
      <c r="D116">
        <v>7</v>
      </c>
      <c r="E116" s="1">
        <v>44743</v>
      </c>
      <c r="F116">
        <v>156.5</v>
      </c>
      <c r="G116">
        <v>213</v>
      </c>
      <c r="H116">
        <v>175.2</v>
      </c>
      <c r="I116">
        <v>166.6</v>
      </c>
      <c r="J116">
        <v>195.8</v>
      </c>
      <c r="K116">
        <v>174.2</v>
      </c>
      <c r="L116">
        <v>182.1</v>
      </c>
      <c r="M116">
        <v>164.3</v>
      </c>
      <c r="N116">
        <v>120</v>
      </c>
      <c r="O116">
        <v>190</v>
      </c>
      <c r="P116">
        <v>168.4</v>
      </c>
      <c r="Q116">
        <v>185.2</v>
      </c>
      <c r="R116">
        <v>175</v>
      </c>
      <c r="S116">
        <v>194.6</v>
      </c>
      <c r="T116">
        <v>178.3</v>
      </c>
      <c r="U116">
        <v>171.3</v>
      </c>
      <c r="V116">
        <v>177.3</v>
      </c>
      <c r="W116">
        <v>167.8</v>
      </c>
      <c r="X116">
        <v>179.6</v>
      </c>
      <c r="Y116">
        <v>167.4</v>
      </c>
      <c r="Z116">
        <v>176.1</v>
      </c>
      <c r="AA116">
        <v>161.6</v>
      </c>
      <c r="AB116">
        <v>166.3</v>
      </c>
      <c r="AC116">
        <v>171.4</v>
      </c>
      <c r="AD116">
        <v>169.7</v>
      </c>
      <c r="AE116">
        <v>168.4</v>
      </c>
      <c r="AF116">
        <v>173.4</v>
      </c>
    </row>
    <row r="117" spans="1:32">
      <c r="A117" t="s">
        <v>35</v>
      </c>
      <c r="B117">
        <v>2022</v>
      </c>
      <c r="C117" t="s">
        <v>46</v>
      </c>
      <c r="D117">
        <v>8</v>
      </c>
      <c r="E117" s="1">
        <v>44774</v>
      </c>
      <c r="F117">
        <v>160.30000000000001</v>
      </c>
      <c r="G117">
        <v>206.5</v>
      </c>
      <c r="H117">
        <v>169.2</v>
      </c>
      <c r="I117">
        <v>168.1</v>
      </c>
      <c r="J117">
        <v>192.4</v>
      </c>
      <c r="K117">
        <v>172.9</v>
      </c>
      <c r="L117">
        <v>186.7</v>
      </c>
      <c r="M117">
        <v>167.2</v>
      </c>
      <c r="N117">
        <v>120.9</v>
      </c>
      <c r="O117">
        <v>193.6</v>
      </c>
      <c r="P117">
        <v>168.8</v>
      </c>
      <c r="Q117">
        <v>186.3</v>
      </c>
      <c r="R117">
        <v>176.3</v>
      </c>
      <c r="S117">
        <v>195</v>
      </c>
      <c r="T117">
        <v>179.5</v>
      </c>
      <c r="U117">
        <v>172.7</v>
      </c>
      <c r="V117">
        <v>178.5</v>
      </c>
      <c r="W117">
        <v>169</v>
      </c>
      <c r="X117">
        <v>178.8</v>
      </c>
      <c r="Y117">
        <v>168.5</v>
      </c>
      <c r="Z117">
        <v>176.8</v>
      </c>
      <c r="AA117">
        <v>161.9</v>
      </c>
      <c r="AB117">
        <v>166.9</v>
      </c>
      <c r="AC117">
        <v>172.3</v>
      </c>
      <c r="AD117">
        <v>171.2</v>
      </c>
      <c r="AE117">
        <v>169.1</v>
      </c>
      <c r="AF117">
        <v>174.3</v>
      </c>
    </row>
    <row r="118" spans="1:32">
      <c r="A118" t="s">
        <v>35</v>
      </c>
      <c r="B118">
        <v>2022</v>
      </c>
      <c r="C118" t="s">
        <v>48</v>
      </c>
      <c r="D118">
        <v>9</v>
      </c>
      <c r="E118" s="1">
        <v>44805</v>
      </c>
      <c r="F118">
        <v>163.5</v>
      </c>
      <c r="G118">
        <v>209.2</v>
      </c>
      <c r="H118">
        <v>169.7</v>
      </c>
      <c r="I118">
        <v>169.7</v>
      </c>
      <c r="J118">
        <v>188.7</v>
      </c>
      <c r="K118">
        <v>165.7</v>
      </c>
      <c r="L118">
        <v>191.8</v>
      </c>
      <c r="M118">
        <v>169.1</v>
      </c>
      <c r="N118">
        <v>121.6</v>
      </c>
      <c r="O118">
        <v>197.3</v>
      </c>
      <c r="P118">
        <v>169.4</v>
      </c>
      <c r="Q118">
        <v>187.4</v>
      </c>
      <c r="R118">
        <v>177.8</v>
      </c>
      <c r="S118">
        <v>195.9</v>
      </c>
      <c r="T118">
        <v>180.9</v>
      </c>
      <c r="U118">
        <v>174.3</v>
      </c>
      <c r="V118">
        <v>179.9</v>
      </c>
      <c r="W118">
        <v>169.5</v>
      </c>
      <c r="X118">
        <v>179.5</v>
      </c>
      <c r="Y118">
        <v>169.5</v>
      </c>
      <c r="Z118">
        <v>177.8</v>
      </c>
      <c r="AA118">
        <v>162.30000000000001</v>
      </c>
      <c r="AB118">
        <v>167.6</v>
      </c>
      <c r="AC118">
        <v>173.1</v>
      </c>
      <c r="AD118">
        <v>170.9</v>
      </c>
      <c r="AE118">
        <v>169.7</v>
      </c>
      <c r="AF118">
        <v>175.3</v>
      </c>
    </row>
    <row r="119" spans="1:32">
      <c r="A119" t="s">
        <v>35</v>
      </c>
      <c r="B119">
        <v>2022</v>
      </c>
      <c r="C119" t="s">
        <v>50</v>
      </c>
      <c r="D119">
        <v>10</v>
      </c>
      <c r="E119" s="1">
        <v>44835</v>
      </c>
      <c r="F119">
        <v>165.2</v>
      </c>
      <c r="G119">
        <v>210.9</v>
      </c>
      <c r="H119">
        <v>170.9</v>
      </c>
      <c r="I119">
        <v>170.9</v>
      </c>
      <c r="J119">
        <v>186.5</v>
      </c>
      <c r="K119">
        <v>163.80000000000001</v>
      </c>
      <c r="L119">
        <v>199.7</v>
      </c>
      <c r="M119">
        <v>169.8</v>
      </c>
      <c r="N119">
        <v>121.9</v>
      </c>
      <c r="O119">
        <v>199.9</v>
      </c>
      <c r="P119">
        <v>169.9</v>
      </c>
      <c r="Q119">
        <v>188.3</v>
      </c>
      <c r="R119">
        <v>179.6</v>
      </c>
      <c r="S119">
        <v>196.3</v>
      </c>
      <c r="T119">
        <v>181.9</v>
      </c>
      <c r="U119">
        <v>175.3</v>
      </c>
      <c r="V119">
        <v>181</v>
      </c>
      <c r="W119">
        <v>171.2</v>
      </c>
      <c r="X119">
        <v>180.5</v>
      </c>
      <c r="Y119">
        <v>170.4</v>
      </c>
      <c r="Z119">
        <v>178.7</v>
      </c>
      <c r="AA119">
        <v>162.9</v>
      </c>
      <c r="AB119">
        <v>168.2</v>
      </c>
      <c r="AC119">
        <v>173.4</v>
      </c>
      <c r="AD119">
        <v>172.1</v>
      </c>
      <c r="AE119">
        <v>170.5</v>
      </c>
      <c r="AF119">
        <v>176.7</v>
      </c>
    </row>
    <row r="120" spans="1:32">
      <c r="A120" t="s">
        <v>35</v>
      </c>
      <c r="B120">
        <v>2022</v>
      </c>
      <c r="C120" t="s">
        <v>53</v>
      </c>
      <c r="D120">
        <v>11</v>
      </c>
      <c r="E120" s="1">
        <v>44866</v>
      </c>
      <c r="F120">
        <v>167.4</v>
      </c>
      <c r="G120">
        <v>209.4</v>
      </c>
      <c r="H120">
        <v>181.4</v>
      </c>
      <c r="I120">
        <v>172.3</v>
      </c>
      <c r="J120">
        <v>188.9</v>
      </c>
      <c r="K120">
        <v>160.69999999999999</v>
      </c>
      <c r="L120">
        <v>183.1</v>
      </c>
      <c r="M120">
        <v>170.5</v>
      </c>
      <c r="N120">
        <v>122.1</v>
      </c>
      <c r="O120">
        <v>202.8</v>
      </c>
      <c r="P120">
        <v>170.4</v>
      </c>
      <c r="Q120">
        <v>189.5</v>
      </c>
      <c r="R120">
        <v>178.3</v>
      </c>
      <c r="S120">
        <v>196.9</v>
      </c>
      <c r="T120">
        <v>183.1</v>
      </c>
      <c r="U120">
        <v>176.2</v>
      </c>
      <c r="V120">
        <v>182.1</v>
      </c>
      <c r="W120">
        <v>171.8</v>
      </c>
      <c r="X120">
        <v>181.3</v>
      </c>
      <c r="Y120">
        <v>171.4</v>
      </c>
      <c r="Z120">
        <v>179.8</v>
      </c>
      <c r="AA120">
        <v>163</v>
      </c>
      <c r="AB120">
        <v>168.5</v>
      </c>
      <c r="AC120">
        <v>173.7</v>
      </c>
      <c r="AD120">
        <v>173.6</v>
      </c>
      <c r="AE120">
        <v>171.1</v>
      </c>
      <c r="AF120">
        <v>176.5</v>
      </c>
    </row>
    <row r="121" spans="1:32">
      <c r="A121" t="s">
        <v>35</v>
      </c>
      <c r="B121">
        <v>2022</v>
      </c>
      <c r="C121" t="s">
        <v>55</v>
      </c>
      <c r="D121">
        <v>12</v>
      </c>
      <c r="E121" s="1">
        <v>44896</v>
      </c>
      <c r="F121">
        <v>169.2</v>
      </c>
      <c r="G121">
        <v>209</v>
      </c>
      <c r="H121">
        <v>190.2</v>
      </c>
      <c r="I121">
        <v>173.6</v>
      </c>
      <c r="J121">
        <v>188.5</v>
      </c>
      <c r="K121">
        <v>158</v>
      </c>
      <c r="L121">
        <v>159.9</v>
      </c>
      <c r="M121">
        <v>170.8</v>
      </c>
      <c r="N121">
        <v>121.8</v>
      </c>
      <c r="O121">
        <v>205.2</v>
      </c>
      <c r="P121">
        <v>171</v>
      </c>
      <c r="Q121">
        <v>190.3</v>
      </c>
      <c r="R121">
        <v>175.9</v>
      </c>
      <c r="S121">
        <v>197.3</v>
      </c>
      <c r="T121">
        <v>184</v>
      </c>
      <c r="U121">
        <v>177</v>
      </c>
      <c r="V121">
        <v>183</v>
      </c>
      <c r="W121">
        <v>170.7</v>
      </c>
      <c r="X121">
        <v>182</v>
      </c>
      <c r="Y121">
        <v>172.1</v>
      </c>
      <c r="Z121">
        <v>181.1</v>
      </c>
      <c r="AA121">
        <v>163.4</v>
      </c>
      <c r="AB121">
        <v>168.9</v>
      </c>
      <c r="AC121">
        <v>174.1</v>
      </c>
      <c r="AD121">
        <v>175.8</v>
      </c>
      <c r="AE121">
        <v>172</v>
      </c>
      <c r="AF121">
        <v>175.7</v>
      </c>
    </row>
    <row r="122" spans="1:32">
      <c r="A122" t="s">
        <v>35</v>
      </c>
      <c r="B122">
        <v>2023</v>
      </c>
      <c r="C122" t="s">
        <v>31</v>
      </c>
      <c r="D122">
        <v>1</v>
      </c>
      <c r="E122" s="1">
        <v>44927</v>
      </c>
      <c r="F122">
        <v>173.8</v>
      </c>
      <c r="G122">
        <v>210.7</v>
      </c>
      <c r="H122">
        <v>194.5</v>
      </c>
      <c r="I122">
        <v>174.6</v>
      </c>
      <c r="J122">
        <v>187.2</v>
      </c>
      <c r="K122">
        <v>158.30000000000001</v>
      </c>
      <c r="L122">
        <v>153.9</v>
      </c>
      <c r="M122">
        <v>170.9</v>
      </c>
      <c r="N122">
        <v>121.1</v>
      </c>
      <c r="O122">
        <v>208.4</v>
      </c>
      <c r="P122">
        <v>171.4</v>
      </c>
      <c r="Q122">
        <v>191.2</v>
      </c>
      <c r="R122">
        <v>176.7</v>
      </c>
      <c r="S122">
        <v>198.2</v>
      </c>
      <c r="T122">
        <v>184.9</v>
      </c>
      <c r="U122">
        <v>177.6</v>
      </c>
      <c r="V122">
        <v>183.8</v>
      </c>
      <c r="W122">
        <v>172.1</v>
      </c>
      <c r="X122">
        <v>182</v>
      </c>
      <c r="Y122">
        <v>172.9</v>
      </c>
      <c r="Z122">
        <v>182.3</v>
      </c>
      <c r="AA122">
        <v>163.6</v>
      </c>
      <c r="AB122">
        <v>169.5</v>
      </c>
      <c r="AC122">
        <v>174.3</v>
      </c>
      <c r="AD122">
        <v>178.6</v>
      </c>
      <c r="AE122">
        <v>172.8</v>
      </c>
      <c r="AF122">
        <v>176.5</v>
      </c>
    </row>
    <row r="123" spans="1:32">
      <c r="A123" t="s">
        <v>35</v>
      </c>
      <c r="B123">
        <v>2023</v>
      </c>
      <c r="C123" t="s">
        <v>36</v>
      </c>
      <c r="D123">
        <v>2</v>
      </c>
      <c r="E123" s="1">
        <v>44958</v>
      </c>
      <c r="F123">
        <v>174.4</v>
      </c>
      <c r="G123">
        <v>207.7</v>
      </c>
      <c r="H123">
        <v>175.2</v>
      </c>
      <c r="I123">
        <v>177.3</v>
      </c>
      <c r="J123">
        <v>179.3</v>
      </c>
      <c r="K123">
        <v>169.5</v>
      </c>
      <c r="L123">
        <v>152.69999999999999</v>
      </c>
      <c r="M123">
        <v>171</v>
      </c>
      <c r="N123">
        <v>120</v>
      </c>
      <c r="O123">
        <v>209.7</v>
      </c>
      <c r="P123">
        <v>172.3</v>
      </c>
      <c r="Q123">
        <v>193</v>
      </c>
      <c r="R123">
        <v>177</v>
      </c>
      <c r="S123">
        <v>199.5</v>
      </c>
      <c r="T123">
        <v>186.2</v>
      </c>
      <c r="U123">
        <v>178.7</v>
      </c>
      <c r="V123">
        <v>185.1</v>
      </c>
      <c r="W123">
        <v>173.5</v>
      </c>
      <c r="X123">
        <v>182.1</v>
      </c>
      <c r="Y123">
        <v>174.2</v>
      </c>
      <c r="Z123">
        <v>184.4</v>
      </c>
      <c r="AA123">
        <v>164.2</v>
      </c>
      <c r="AB123">
        <v>170.3</v>
      </c>
      <c r="AC123">
        <v>175</v>
      </c>
      <c r="AD123">
        <v>181</v>
      </c>
      <c r="AE123">
        <v>174.1</v>
      </c>
      <c r="AF123">
        <v>177.2</v>
      </c>
    </row>
    <row r="124" spans="1:32">
      <c r="A124" t="s">
        <v>35</v>
      </c>
      <c r="B124">
        <v>2023</v>
      </c>
      <c r="C124" t="s">
        <v>38</v>
      </c>
      <c r="D124">
        <v>3</v>
      </c>
      <c r="E124" s="1">
        <v>44986</v>
      </c>
      <c r="F124">
        <v>174.4</v>
      </c>
      <c r="G124">
        <v>207.7</v>
      </c>
      <c r="H124">
        <v>175.2</v>
      </c>
      <c r="I124">
        <v>177.3</v>
      </c>
      <c r="J124">
        <v>179.2</v>
      </c>
      <c r="K124">
        <v>169.5</v>
      </c>
      <c r="L124">
        <v>152.80000000000001</v>
      </c>
      <c r="M124">
        <v>171.1</v>
      </c>
      <c r="N124">
        <v>120</v>
      </c>
      <c r="O124">
        <v>209.7</v>
      </c>
      <c r="P124">
        <v>172.3</v>
      </c>
      <c r="Q124">
        <v>193</v>
      </c>
      <c r="R124">
        <v>177</v>
      </c>
      <c r="S124">
        <v>199.5</v>
      </c>
      <c r="T124">
        <v>186.1</v>
      </c>
      <c r="U124">
        <v>178.7</v>
      </c>
      <c r="V124">
        <v>185.1</v>
      </c>
      <c r="W124">
        <v>173.5</v>
      </c>
      <c r="X124">
        <v>181.9</v>
      </c>
      <c r="Y124">
        <v>174.2</v>
      </c>
      <c r="Z124">
        <v>184.4</v>
      </c>
      <c r="AA124">
        <v>164.2</v>
      </c>
      <c r="AB124">
        <v>170.3</v>
      </c>
      <c r="AC124">
        <v>175</v>
      </c>
      <c r="AD124">
        <v>181</v>
      </c>
      <c r="AE124">
        <v>174.1</v>
      </c>
      <c r="AF124">
        <v>177.2</v>
      </c>
    </row>
    <row r="125" spans="1:32">
      <c r="A125" t="s">
        <v>35</v>
      </c>
      <c r="B125">
        <v>2023</v>
      </c>
      <c r="C125" t="s">
        <v>39</v>
      </c>
      <c r="D125">
        <v>4</v>
      </c>
      <c r="E125" s="1">
        <v>45017</v>
      </c>
      <c r="F125">
        <v>173.8</v>
      </c>
      <c r="G125">
        <v>209.3</v>
      </c>
      <c r="H125">
        <v>169.6</v>
      </c>
      <c r="I125">
        <v>178.4</v>
      </c>
      <c r="J125">
        <v>174.9</v>
      </c>
      <c r="K125">
        <v>176.3</v>
      </c>
      <c r="L125">
        <v>155.4</v>
      </c>
      <c r="M125">
        <v>173.4</v>
      </c>
      <c r="N125">
        <v>121.3</v>
      </c>
      <c r="O125">
        <v>212.9</v>
      </c>
      <c r="P125">
        <v>172.9</v>
      </c>
      <c r="Q125">
        <v>193.5</v>
      </c>
      <c r="R125">
        <v>177.9</v>
      </c>
      <c r="S125">
        <v>200.6</v>
      </c>
      <c r="T125">
        <v>186.9</v>
      </c>
      <c r="U125">
        <v>179.2</v>
      </c>
      <c r="V125">
        <v>185.7</v>
      </c>
      <c r="W125">
        <v>175.2</v>
      </c>
      <c r="X125">
        <v>181.7</v>
      </c>
      <c r="Y125">
        <v>174.6</v>
      </c>
      <c r="Z125">
        <v>185</v>
      </c>
      <c r="AA125">
        <v>164.5</v>
      </c>
      <c r="AB125">
        <v>170.7</v>
      </c>
      <c r="AC125">
        <v>176.4</v>
      </c>
      <c r="AD125">
        <v>184</v>
      </c>
      <c r="AE125">
        <v>175</v>
      </c>
      <c r="AF125">
        <v>178.1</v>
      </c>
    </row>
    <row r="126" spans="1:32">
      <c r="A126" t="s">
        <v>35</v>
      </c>
      <c r="B126">
        <v>2023</v>
      </c>
      <c r="C126" t="s">
        <v>41</v>
      </c>
      <c r="D126">
        <v>5</v>
      </c>
      <c r="E126" s="1">
        <v>45047</v>
      </c>
      <c r="F126">
        <v>173.7</v>
      </c>
      <c r="G126">
        <v>214.3</v>
      </c>
      <c r="H126">
        <v>173.2</v>
      </c>
      <c r="I126">
        <v>179.5</v>
      </c>
      <c r="J126">
        <v>170</v>
      </c>
      <c r="K126">
        <v>172.2</v>
      </c>
      <c r="L126">
        <v>161</v>
      </c>
      <c r="M126">
        <v>175.6</v>
      </c>
      <c r="N126">
        <v>122.7</v>
      </c>
      <c r="O126">
        <v>218</v>
      </c>
      <c r="P126">
        <v>173.4</v>
      </c>
      <c r="Q126">
        <v>194.2</v>
      </c>
      <c r="R126">
        <v>179.1</v>
      </c>
      <c r="S126">
        <v>201</v>
      </c>
      <c r="T126">
        <v>187.3</v>
      </c>
      <c r="U126">
        <v>179.7</v>
      </c>
      <c r="V126">
        <v>186.2</v>
      </c>
      <c r="W126">
        <v>175.6</v>
      </c>
      <c r="X126">
        <v>182.8</v>
      </c>
      <c r="Y126">
        <v>175.2</v>
      </c>
      <c r="Z126">
        <v>185.7</v>
      </c>
      <c r="AA126">
        <v>164.8</v>
      </c>
      <c r="AB126">
        <v>171.2</v>
      </c>
      <c r="AC126">
        <v>177.1</v>
      </c>
      <c r="AD126">
        <v>185.2</v>
      </c>
      <c r="AE126">
        <v>175.7</v>
      </c>
      <c r="AF126">
        <v>179.1</v>
      </c>
    </row>
  </sheetData>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4EF8-7BD7-4EC3-B2BC-B042D548C703}">
  <dimension ref="A5:AF9"/>
  <sheetViews>
    <sheetView workbookViewId="0">
      <selection activeCell="S5" sqref="S5"/>
    </sheetView>
  </sheetViews>
  <sheetFormatPr defaultRowHeight="14.45"/>
  <cols>
    <col min="4" max="4" width="15.140625" customWidth="1"/>
    <col min="6" max="6" width="20.42578125" customWidth="1"/>
    <col min="7" max="7" width="13.7109375" customWidth="1"/>
    <col min="9" max="9" width="17.7109375" customWidth="1"/>
    <col min="10" max="10" width="13.140625" customWidth="1"/>
    <col min="12" max="12" width="12.140625" customWidth="1"/>
    <col min="13" max="13" width="19.5703125" customWidth="1"/>
    <col min="14" max="14" width="22.85546875" customWidth="1"/>
    <col min="16" max="16" width="23.28515625" customWidth="1"/>
    <col min="17" max="17" width="32.85546875" customWidth="1"/>
    <col min="18" max="18" width="19.28515625" customWidth="1"/>
    <col min="19" max="19" width="26.7109375" customWidth="1"/>
    <col min="20" max="20" width="9.7109375" customWidth="1"/>
    <col min="21" max="21" width="10.5703125" customWidth="1"/>
    <col min="22" max="22" width="20.7109375" customWidth="1"/>
    <col min="23" max="23" width="9.5703125" customWidth="1"/>
    <col min="24" max="24" width="13.85546875" customWidth="1"/>
    <col min="25" max="25" width="27.7109375" customWidth="1"/>
    <col min="27" max="27" width="27.7109375" customWidth="1"/>
    <col min="28" max="28" width="25.5703125" customWidth="1"/>
    <col min="29" max="29" width="11.28515625" customWidth="1"/>
    <col min="30" max="30" width="23.5703125" customWidth="1"/>
    <col min="31" max="31" width="14.7109375" customWidth="1"/>
    <col min="32" max="32" width="14.28515625" customWidth="1"/>
  </cols>
  <sheetData>
    <row r="5" spans="1:32">
      <c r="A5" s="16" t="s">
        <v>0</v>
      </c>
      <c r="B5" s="16" t="s">
        <v>1</v>
      </c>
      <c r="C5" s="16" t="s">
        <v>2</v>
      </c>
      <c r="D5" s="16" t="s">
        <v>165</v>
      </c>
      <c r="E5" s="16" t="s">
        <v>166</v>
      </c>
      <c r="F5" s="16" t="s">
        <v>3</v>
      </c>
      <c r="G5" s="16" t="s">
        <v>4</v>
      </c>
      <c r="H5" s="16" t="s">
        <v>5</v>
      </c>
      <c r="I5" s="16" t="s">
        <v>6</v>
      </c>
      <c r="J5" s="16" t="s">
        <v>7</v>
      </c>
      <c r="K5" s="16" t="s">
        <v>8</v>
      </c>
      <c r="L5" s="16" t="s">
        <v>9</v>
      </c>
      <c r="M5" s="16" t="s">
        <v>10</v>
      </c>
      <c r="N5" s="16" t="s">
        <v>11</v>
      </c>
      <c r="O5" s="16" t="s">
        <v>12</v>
      </c>
      <c r="P5" s="16" t="s">
        <v>13</v>
      </c>
      <c r="Q5" s="16" t="s">
        <v>14</v>
      </c>
      <c r="R5" s="16" t="s">
        <v>15</v>
      </c>
      <c r="S5" s="16" t="s">
        <v>16</v>
      </c>
      <c r="T5" s="16" t="s">
        <v>17</v>
      </c>
      <c r="U5" s="16" t="s">
        <v>18</v>
      </c>
      <c r="V5" s="16" t="s">
        <v>19</v>
      </c>
      <c r="W5" s="16" t="s">
        <v>20</v>
      </c>
      <c r="X5" s="16" t="s">
        <v>21</v>
      </c>
      <c r="Y5" s="16" t="s">
        <v>22</v>
      </c>
      <c r="Z5" s="16" t="s">
        <v>23</v>
      </c>
      <c r="AA5" s="16" t="s">
        <v>24</v>
      </c>
      <c r="AB5" s="16" t="s">
        <v>25</v>
      </c>
      <c r="AC5" s="16" t="s">
        <v>26</v>
      </c>
      <c r="AD5" s="16" t="s">
        <v>27</v>
      </c>
      <c r="AE5" s="16" t="s">
        <v>28</v>
      </c>
      <c r="AF5" s="16" t="s">
        <v>29</v>
      </c>
    </row>
    <row r="6" spans="1:32">
      <c r="A6" s="3" t="s">
        <v>35</v>
      </c>
      <c r="B6" s="3">
        <v>2020</v>
      </c>
      <c r="C6" s="3" t="s">
        <v>38</v>
      </c>
      <c r="D6" s="3">
        <v>3</v>
      </c>
      <c r="E6" s="14">
        <v>43891</v>
      </c>
      <c r="F6" s="3">
        <v>145.1</v>
      </c>
      <c r="G6" s="3">
        <v>167</v>
      </c>
      <c r="H6" s="3">
        <v>148.1</v>
      </c>
      <c r="I6" s="3">
        <v>151.5</v>
      </c>
      <c r="J6" s="3">
        <v>131.19999999999999</v>
      </c>
      <c r="K6" s="3">
        <v>142.5</v>
      </c>
      <c r="L6" s="3">
        <v>157.30000000000001</v>
      </c>
      <c r="M6" s="3">
        <v>141.1</v>
      </c>
      <c r="N6" s="3">
        <v>113.2</v>
      </c>
      <c r="O6" s="3">
        <v>153.19999999999999</v>
      </c>
      <c r="P6" s="3">
        <v>136.69999999999999</v>
      </c>
      <c r="Q6" s="3">
        <v>159.6</v>
      </c>
      <c r="R6" s="3">
        <v>148.9</v>
      </c>
      <c r="S6" s="3">
        <v>171.2</v>
      </c>
      <c r="T6" s="3">
        <v>151.19999999999999</v>
      </c>
      <c r="U6" s="3">
        <v>141.9</v>
      </c>
      <c r="V6" s="3">
        <v>149.80000000000001</v>
      </c>
      <c r="W6" s="3">
        <v>154.5</v>
      </c>
      <c r="X6" s="3">
        <v>148.9</v>
      </c>
      <c r="Y6" s="3">
        <v>146.4</v>
      </c>
      <c r="Z6" s="3">
        <v>152.30000000000001</v>
      </c>
      <c r="AA6" s="3">
        <v>129.9</v>
      </c>
      <c r="AB6" s="3">
        <v>143.69999999999999</v>
      </c>
      <c r="AC6" s="3">
        <v>156.1</v>
      </c>
      <c r="AD6" s="3">
        <v>145.19999999999999</v>
      </c>
      <c r="AE6" s="3">
        <v>143.80000000000001</v>
      </c>
      <c r="AF6" s="3">
        <v>148.6</v>
      </c>
    </row>
    <row r="7" spans="1:32">
      <c r="A7" s="2" t="s">
        <v>35</v>
      </c>
      <c r="B7" s="2">
        <v>2020</v>
      </c>
      <c r="C7" s="2" t="s">
        <v>39</v>
      </c>
      <c r="D7" s="2">
        <v>4</v>
      </c>
      <c r="E7" s="15">
        <v>43922</v>
      </c>
      <c r="F7" s="2">
        <v>148.69999999999999</v>
      </c>
      <c r="G7" s="2">
        <f>G6+((G9-G6)/3)</f>
        <v>175.56666666666666</v>
      </c>
      <c r="H7" s="2">
        <v>148.80000000000001</v>
      </c>
      <c r="I7" s="2">
        <v>155.6</v>
      </c>
      <c r="J7" s="2">
        <v>135.1</v>
      </c>
      <c r="K7" s="2">
        <v>149.9</v>
      </c>
      <c r="L7" s="2">
        <v>168.6</v>
      </c>
      <c r="M7" s="2">
        <v>150.4</v>
      </c>
      <c r="N7" s="2">
        <v>120.3</v>
      </c>
      <c r="O7" s="2">
        <v>157.1</v>
      </c>
      <c r="P7" s="2">
        <v>136.80000000000001</v>
      </c>
      <c r="Q7" s="2">
        <f>Q6+((Q9-Q6)/3)</f>
        <v>160.33333333333334</v>
      </c>
      <c r="R7" s="2">
        <v>151.4</v>
      </c>
      <c r="S7" s="2">
        <f>S6+((S9-S6)/3)</f>
        <v>175.29999999999998</v>
      </c>
      <c r="T7" s="2">
        <f>T6+((T9-T6)/3)</f>
        <v>151.63333333333333</v>
      </c>
      <c r="U7" s="2">
        <f>U6+((U9-U6)/3)</f>
        <v>142.73333333333335</v>
      </c>
      <c r="V7" s="2">
        <f>V6+((V9-V6)/3)</f>
        <v>150.33333333333334</v>
      </c>
      <c r="W7" s="2">
        <v>155.6</v>
      </c>
      <c r="X7" s="2">
        <v>144.1</v>
      </c>
      <c r="Y7" s="2">
        <f>Y6+((Y9-Y6)/3)</f>
        <v>146.4</v>
      </c>
      <c r="Z7" s="2">
        <v>150.69999999999999</v>
      </c>
      <c r="AA7" s="2">
        <f t="shared" ref="AA7:AF7" si="0">AA6+((AA9-AA6)/3)</f>
        <v>131.6</v>
      </c>
      <c r="AB7" s="2">
        <f t="shared" si="0"/>
        <v>145.23333333333332</v>
      </c>
      <c r="AC7" s="2">
        <f t="shared" si="0"/>
        <v>156.19999999999999</v>
      </c>
      <c r="AD7" s="2">
        <f t="shared" si="0"/>
        <v>147.33333333333331</v>
      </c>
      <c r="AE7" s="2">
        <f t="shared" si="0"/>
        <v>144.86666666666667</v>
      </c>
      <c r="AF7" s="2">
        <f t="shared" si="0"/>
        <v>149.66666666666666</v>
      </c>
    </row>
    <row r="8" spans="1:32">
      <c r="A8" s="3" t="s">
        <v>35</v>
      </c>
      <c r="B8" s="3">
        <v>2020</v>
      </c>
      <c r="C8" s="3" t="s">
        <v>41</v>
      </c>
      <c r="D8" s="3">
        <v>5</v>
      </c>
      <c r="E8" s="14">
        <v>43952</v>
      </c>
      <c r="F8" s="3">
        <f>AVERAGE(F7,F9)</f>
        <v>149.14999999999998</v>
      </c>
      <c r="G8" s="3">
        <f>G6+((G9-G6)*2/3)</f>
        <v>184.13333333333333</v>
      </c>
      <c r="H8" s="3">
        <f t="shared" ref="H8:P8" si="1">AVERAGE(H7,H9)</f>
        <v>150.10000000000002</v>
      </c>
      <c r="I8" s="3">
        <f t="shared" si="1"/>
        <v>154.44999999999999</v>
      </c>
      <c r="J8" s="3">
        <f t="shared" si="1"/>
        <v>135.69999999999999</v>
      </c>
      <c r="K8" s="3">
        <f t="shared" si="1"/>
        <v>148.55000000000001</v>
      </c>
      <c r="L8" s="3">
        <f t="shared" si="1"/>
        <v>162.55000000000001</v>
      </c>
      <c r="M8" s="3">
        <f t="shared" si="1"/>
        <v>150.65</v>
      </c>
      <c r="N8" s="3">
        <f t="shared" si="1"/>
        <v>117.25</v>
      </c>
      <c r="O8" s="3">
        <f t="shared" si="1"/>
        <v>158.30000000000001</v>
      </c>
      <c r="P8" s="3">
        <f t="shared" si="1"/>
        <v>138.10000000000002</v>
      </c>
      <c r="Q8" s="3">
        <f>Q6+((Q9-Q6)*2/3)</f>
        <v>161.06666666666666</v>
      </c>
      <c r="R8" s="3">
        <f>AVERAGE(R7,R9)</f>
        <v>152.69999999999999</v>
      </c>
      <c r="S8" s="3">
        <f>S6+((S9-S6)*2/3)</f>
        <v>179.4</v>
      </c>
      <c r="T8" s="3">
        <f>T6+((T9-T6)*2/3)</f>
        <v>152.06666666666666</v>
      </c>
      <c r="U8" s="3">
        <f>U6+((U9-U6)*2/3)</f>
        <v>143.56666666666666</v>
      </c>
      <c r="V8" s="3">
        <f>V6+((V9-V6)*2/3)</f>
        <v>150.86666666666667</v>
      </c>
      <c r="W8" s="3">
        <f>AVERAGE(W7,W9)</f>
        <v>155.14999999999998</v>
      </c>
      <c r="X8" s="3">
        <f>AVERAGE(X7,X9)</f>
        <v>143</v>
      </c>
      <c r="Y8" s="3">
        <f>Y6+((Y9-Y6)*2/3)</f>
        <v>146.4</v>
      </c>
      <c r="Z8" s="3">
        <f>AVERAGE(Z7,Z9)</f>
        <v>152.55000000000001</v>
      </c>
      <c r="AA8" s="3">
        <f t="shared" ref="AA8:AF8" si="2">AA6+((AA9-AA6)*2/3)</f>
        <v>133.30000000000001</v>
      </c>
      <c r="AB8" s="3">
        <f t="shared" si="2"/>
        <v>146.76666666666668</v>
      </c>
      <c r="AC8" s="3">
        <f t="shared" si="2"/>
        <v>156.30000000000001</v>
      </c>
      <c r="AD8" s="3">
        <f t="shared" si="2"/>
        <v>149.46666666666667</v>
      </c>
      <c r="AE8" s="3">
        <f t="shared" si="2"/>
        <v>145.93333333333334</v>
      </c>
      <c r="AF8" s="3">
        <f t="shared" si="2"/>
        <v>150.73333333333335</v>
      </c>
    </row>
    <row r="9" spans="1:32">
      <c r="A9" s="17" t="s">
        <v>35</v>
      </c>
      <c r="B9" s="17">
        <v>2020</v>
      </c>
      <c r="C9" s="17" t="s">
        <v>42</v>
      </c>
      <c r="D9" s="17">
        <v>6</v>
      </c>
      <c r="E9" s="18">
        <v>43983</v>
      </c>
      <c r="F9" s="17">
        <v>149.6</v>
      </c>
      <c r="G9" s="17">
        <v>192.7</v>
      </c>
      <c r="H9" s="17">
        <v>151.4</v>
      </c>
      <c r="I9" s="17">
        <v>153.30000000000001</v>
      </c>
      <c r="J9" s="17">
        <v>136.30000000000001</v>
      </c>
      <c r="K9" s="17">
        <v>147.19999999999999</v>
      </c>
      <c r="L9" s="17">
        <v>156.5</v>
      </c>
      <c r="M9" s="17">
        <v>150.9</v>
      </c>
      <c r="N9" s="17">
        <v>114.2</v>
      </c>
      <c r="O9" s="17">
        <v>159.5</v>
      </c>
      <c r="P9" s="17">
        <v>139.4</v>
      </c>
      <c r="Q9" s="17">
        <v>161.80000000000001</v>
      </c>
      <c r="R9" s="17">
        <v>154</v>
      </c>
      <c r="S9" s="17">
        <v>183.5</v>
      </c>
      <c r="T9" s="17">
        <v>152.5</v>
      </c>
      <c r="U9" s="17">
        <v>144.4</v>
      </c>
      <c r="V9" s="17">
        <v>151.4</v>
      </c>
      <c r="W9" s="17">
        <v>154.69999999999999</v>
      </c>
      <c r="X9" s="17">
        <v>141.9</v>
      </c>
      <c r="Y9" s="17">
        <v>146.4</v>
      </c>
      <c r="Z9" s="17">
        <v>154.4</v>
      </c>
      <c r="AA9" s="17">
        <v>135</v>
      </c>
      <c r="AB9" s="17">
        <v>148.30000000000001</v>
      </c>
      <c r="AC9" s="17">
        <v>156.4</v>
      </c>
      <c r="AD9" s="17">
        <v>151.6</v>
      </c>
      <c r="AE9" s="17">
        <v>147</v>
      </c>
      <c r="AF9" s="17">
        <v>151.80000000000001</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3F17D-0DB5-4214-8C2D-7CA2802475BE}">
  <dimension ref="A6:AF9"/>
  <sheetViews>
    <sheetView workbookViewId="0">
      <selection activeCell="E17" sqref="E17"/>
    </sheetView>
  </sheetViews>
  <sheetFormatPr defaultRowHeight="14.45"/>
  <cols>
    <col min="4" max="4" width="15.140625" customWidth="1"/>
    <col min="6" max="6" width="20.42578125" customWidth="1"/>
    <col min="7" max="7" width="13.7109375" customWidth="1"/>
    <col min="9" max="9" width="17.7109375" customWidth="1"/>
    <col min="10" max="10" width="13.140625" customWidth="1"/>
    <col min="12" max="12" width="12.140625" customWidth="1"/>
    <col min="13" max="13" width="19.5703125" customWidth="1"/>
    <col min="14" max="14" width="22.85546875" customWidth="1"/>
    <col min="16" max="16" width="23" customWidth="1"/>
    <col min="17" max="17" width="32.28515625" customWidth="1"/>
    <col min="18" max="18" width="19.28515625" customWidth="1"/>
    <col min="19" max="19" width="26.7109375" customWidth="1"/>
    <col min="20" max="20" width="9.7109375" customWidth="1"/>
    <col min="21" max="21" width="10.5703125" customWidth="1"/>
    <col min="22" max="22" width="20.7109375" customWidth="1"/>
    <col min="23" max="23" width="9.5703125" customWidth="1"/>
    <col min="24" max="24" width="13.85546875" customWidth="1"/>
    <col min="25" max="25" width="27.7109375" customWidth="1"/>
    <col min="27" max="27" width="27.7109375" customWidth="1"/>
    <col min="28" max="28" width="25.5703125" customWidth="1"/>
    <col min="29" max="29" width="11.28515625" customWidth="1"/>
    <col min="30" max="30" width="23.5703125" customWidth="1"/>
    <col min="31" max="31" width="14.7109375" customWidth="1"/>
    <col min="32" max="32" width="14.28515625" customWidth="1"/>
  </cols>
  <sheetData>
    <row r="6" spans="1:32">
      <c r="A6" s="16" t="s">
        <v>0</v>
      </c>
      <c r="B6" s="16" t="s">
        <v>1</v>
      </c>
      <c r="C6" s="16" t="s">
        <v>2</v>
      </c>
      <c r="D6" s="16" t="s">
        <v>165</v>
      </c>
      <c r="E6" s="16" t="s">
        <v>166</v>
      </c>
      <c r="F6" s="16" t="s">
        <v>3</v>
      </c>
      <c r="G6" s="16" t="s">
        <v>4</v>
      </c>
      <c r="H6" s="16" t="s">
        <v>5</v>
      </c>
      <c r="I6" s="16" t="s">
        <v>6</v>
      </c>
      <c r="J6" s="16" t="s">
        <v>7</v>
      </c>
      <c r="K6" s="16" t="s">
        <v>8</v>
      </c>
      <c r="L6" s="16" t="s">
        <v>9</v>
      </c>
      <c r="M6" s="16" t="s">
        <v>10</v>
      </c>
      <c r="N6" s="16" t="s">
        <v>11</v>
      </c>
      <c r="O6" s="16" t="s">
        <v>12</v>
      </c>
      <c r="P6" s="16" t="s">
        <v>173</v>
      </c>
      <c r="Q6" s="16" t="s">
        <v>174</v>
      </c>
      <c r="R6" s="16" t="s">
        <v>15</v>
      </c>
      <c r="S6" s="16" t="s">
        <v>16</v>
      </c>
      <c r="T6" s="16" t="s">
        <v>17</v>
      </c>
      <c r="U6" s="16" t="s">
        <v>18</v>
      </c>
      <c r="V6" s="16" t="s">
        <v>19</v>
      </c>
      <c r="W6" s="16" t="s">
        <v>20</v>
      </c>
      <c r="X6" s="16" t="s">
        <v>21</v>
      </c>
      <c r="Y6" s="16" t="s">
        <v>22</v>
      </c>
      <c r="Z6" s="16" t="s">
        <v>23</v>
      </c>
      <c r="AA6" s="16" t="s">
        <v>24</v>
      </c>
      <c r="AB6" s="16" t="s">
        <v>25</v>
      </c>
      <c r="AC6" s="16" t="s">
        <v>26</v>
      </c>
      <c r="AD6" s="16" t="s">
        <v>27</v>
      </c>
      <c r="AE6" s="16" t="s">
        <v>28</v>
      </c>
      <c r="AF6" s="20" t="s">
        <v>29</v>
      </c>
    </row>
    <row r="7" spans="1:32">
      <c r="A7" s="2" t="s">
        <v>35</v>
      </c>
      <c r="B7" s="2">
        <v>2019</v>
      </c>
      <c r="C7" s="2" t="s">
        <v>38</v>
      </c>
      <c r="D7" s="2">
        <v>3</v>
      </c>
      <c r="E7" s="15">
        <v>43525</v>
      </c>
      <c r="F7" s="2">
        <v>137.80000000000001</v>
      </c>
      <c r="G7" s="2">
        <v>153</v>
      </c>
      <c r="H7" s="2">
        <v>140.30000000000001</v>
      </c>
      <c r="I7" s="2">
        <v>142.30000000000001</v>
      </c>
      <c r="J7" s="2">
        <v>122</v>
      </c>
      <c r="K7" s="2">
        <v>137.6</v>
      </c>
      <c r="L7" s="2">
        <v>132.6</v>
      </c>
      <c r="M7" s="2">
        <v>121.8</v>
      </c>
      <c r="N7" s="2">
        <v>109</v>
      </c>
      <c r="O7" s="2">
        <v>139.5</v>
      </c>
      <c r="P7" s="2">
        <v>133.69999999999999</v>
      </c>
      <c r="Q7" s="2">
        <v>155.19999999999999</v>
      </c>
      <c r="R7" s="2">
        <v>138.1</v>
      </c>
      <c r="S7" s="2">
        <v>163.5</v>
      </c>
      <c r="T7" s="2">
        <v>147.9</v>
      </c>
      <c r="U7" s="2">
        <v>139.9</v>
      </c>
      <c r="V7" s="2">
        <v>146.69999999999999</v>
      </c>
      <c r="W7" s="2">
        <v>149</v>
      </c>
      <c r="X7" s="2">
        <v>139.69999999999999</v>
      </c>
      <c r="Y7" s="2">
        <v>143.80000000000001</v>
      </c>
      <c r="Z7" s="2">
        <v>146.19999999999999</v>
      </c>
      <c r="AA7" s="2">
        <v>124.6</v>
      </c>
      <c r="AB7" s="2">
        <v>137.69999999999999</v>
      </c>
      <c r="AC7" s="2">
        <v>150.30000000000001</v>
      </c>
      <c r="AD7" s="2">
        <v>133.4</v>
      </c>
      <c r="AE7" s="2">
        <v>137.69999999999999</v>
      </c>
      <c r="AF7" s="19">
        <v>140.4</v>
      </c>
    </row>
    <row r="8" spans="1:32">
      <c r="A8" s="2" t="s">
        <v>35</v>
      </c>
      <c r="B8" s="2">
        <v>2019</v>
      </c>
      <c r="C8" s="2" t="s">
        <v>39</v>
      </c>
      <c r="D8" s="2">
        <v>4</v>
      </c>
      <c r="E8" s="15">
        <v>43556</v>
      </c>
      <c r="F8" s="2">
        <f>AVERAGE(F7,F9)</f>
        <v>138.05000000000001</v>
      </c>
      <c r="G8" s="2">
        <f>AVERAGE(G7,G9)</f>
        <v>155.75</v>
      </c>
      <c r="H8" s="2">
        <f t="shared" ref="H8:AF8" si="0">AVERAGE(H7,H9)</f>
        <v>138.15</v>
      </c>
      <c r="I8" s="2">
        <f t="shared" si="0"/>
        <v>142.4</v>
      </c>
      <c r="J8" s="2">
        <f t="shared" si="0"/>
        <v>122</v>
      </c>
      <c r="K8" s="2">
        <f t="shared" si="0"/>
        <v>142.05000000000001</v>
      </c>
      <c r="L8" s="2">
        <f t="shared" si="0"/>
        <v>137.80000000000001</v>
      </c>
      <c r="M8" s="2">
        <f t="shared" si="0"/>
        <v>123.35</v>
      </c>
      <c r="N8" s="2">
        <f t="shared" si="0"/>
        <v>109.45</v>
      </c>
      <c r="O8" s="2">
        <f t="shared" si="0"/>
        <v>139.69999999999999</v>
      </c>
      <c r="P8" s="2">
        <f t="shared" si="0"/>
        <v>133.85</v>
      </c>
      <c r="Q8" s="2">
        <f t="shared" si="0"/>
        <v>155.35</v>
      </c>
      <c r="R8" s="2">
        <f t="shared" si="0"/>
        <v>139.5</v>
      </c>
      <c r="S8" s="2">
        <f t="shared" si="0"/>
        <v>163.80000000000001</v>
      </c>
      <c r="T8" s="2">
        <f t="shared" si="0"/>
        <v>148.15</v>
      </c>
      <c r="U8" s="2">
        <f t="shared" si="0"/>
        <v>140.15</v>
      </c>
      <c r="V8" s="2">
        <f t="shared" si="0"/>
        <v>147</v>
      </c>
      <c r="W8" s="2">
        <f t="shared" si="0"/>
        <v>149.55000000000001</v>
      </c>
      <c r="X8" s="2">
        <f t="shared" si="0"/>
        <v>140</v>
      </c>
      <c r="Y8" s="2">
        <f t="shared" si="0"/>
        <v>143.75</v>
      </c>
      <c r="Z8" s="2">
        <f t="shared" si="0"/>
        <v>146.55000000000001</v>
      </c>
      <c r="AA8" s="2">
        <f t="shared" si="0"/>
        <v>124.75</v>
      </c>
      <c r="AB8" s="2">
        <f t="shared" si="0"/>
        <v>138.44999999999999</v>
      </c>
      <c r="AC8" s="2">
        <f t="shared" si="0"/>
        <v>150.94999999999999</v>
      </c>
      <c r="AD8" s="2">
        <f t="shared" si="0"/>
        <v>133.4</v>
      </c>
      <c r="AE8" s="2">
        <f t="shared" si="0"/>
        <v>137.94999999999999</v>
      </c>
      <c r="AF8" s="2">
        <f t="shared" si="0"/>
        <v>141.19999999999999</v>
      </c>
    </row>
    <row r="9" spans="1:32">
      <c r="A9" s="21" t="s">
        <v>35</v>
      </c>
      <c r="B9" s="21">
        <v>2019</v>
      </c>
      <c r="C9" s="21" t="s">
        <v>41</v>
      </c>
      <c r="D9" s="21">
        <v>5</v>
      </c>
      <c r="E9" s="22">
        <v>43586</v>
      </c>
      <c r="F9" s="21">
        <v>138.30000000000001</v>
      </c>
      <c r="G9" s="21">
        <v>158.5</v>
      </c>
      <c r="H9" s="21">
        <v>136</v>
      </c>
      <c r="I9" s="21">
        <v>142.5</v>
      </c>
      <c r="J9" s="21">
        <v>122</v>
      </c>
      <c r="K9" s="21">
        <v>146.5</v>
      </c>
      <c r="L9" s="21">
        <v>143</v>
      </c>
      <c r="M9" s="21">
        <v>124.9</v>
      </c>
      <c r="N9" s="21">
        <v>109.9</v>
      </c>
      <c r="O9" s="21">
        <v>139.9</v>
      </c>
      <c r="P9" s="21">
        <v>134</v>
      </c>
      <c r="Q9" s="21">
        <v>155.5</v>
      </c>
      <c r="R9" s="21">
        <v>140.9</v>
      </c>
      <c r="S9" s="21">
        <v>164.1</v>
      </c>
      <c r="T9" s="21">
        <v>148.4</v>
      </c>
      <c r="U9" s="21">
        <v>140.4</v>
      </c>
      <c r="V9" s="21">
        <v>147.30000000000001</v>
      </c>
      <c r="W9" s="21">
        <v>150.1</v>
      </c>
      <c r="X9" s="21">
        <v>140.30000000000001</v>
      </c>
      <c r="Y9" s="21">
        <v>143.69999999999999</v>
      </c>
      <c r="Z9" s="21">
        <v>146.9</v>
      </c>
      <c r="AA9" s="21">
        <v>124.9</v>
      </c>
      <c r="AB9" s="21">
        <v>139.19999999999999</v>
      </c>
      <c r="AC9" s="21">
        <v>151.6</v>
      </c>
      <c r="AD9" s="21">
        <v>133.4</v>
      </c>
      <c r="AE9" s="21">
        <v>138.19999999999999</v>
      </c>
      <c r="AF9" s="23">
        <v>142</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C35B1-C400-471F-9EA2-9666B5D51C65}">
  <dimension ref="A3:C32"/>
  <sheetViews>
    <sheetView workbookViewId="0">
      <selection activeCell="G26" sqref="G26"/>
    </sheetView>
  </sheetViews>
  <sheetFormatPr defaultRowHeight="14.45"/>
  <cols>
    <col min="1" max="1" width="8.28515625" bestFit="1" customWidth="1"/>
    <col min="2" max="2" width="7.5703125" bestFit="1" customWidth="1"/>
    <col min="3" max="3" width="9.28515625" bestFit="1" customWidth="1"/>
  </cols>
  <sheetData>
    <row r="3" spans="1:3">
      <c r="A3" t="s">
        <v>2</v>
      </c>
      <c r="B3" t="s">
        <v>237</v>
      </c>
      <c r="C3" t="s">
        <v>238</v>
      </c>
    </row>
    <row r="4" spans="1:3">
      <c r="A4" s="1">
        <v>44197</v>
      </c>
      <c r="B4">
        <v>121.01</v>
      </c>
      <c r="C4" t="s">
        <v>239</v>
      </c>
    </row>
    <row r="5" spans="1:3">
      <c r="A5" s="1">
        <v>44228</v>
      </c>
      <c r="B5">
        <v>136.77000000000001</v>
      </c>
      <c r="C5" t="s">
        <v>240</v>
      </c>
    </row>
    <row r="6" spans="1:3">
      <c r="A6" s="1">
        <v>44256</v>
      </c>
      <c r="B6">
        <v>144.97</v>
      </c>
      <c r="C6" t="s">
        <v>241</v>
      </c>
    </row>
    <row r="7" spans="1:3">
      <c r="A7" s="1">
        <v>44287</v>
      </c>
      <c r="B7">
        <v>143.19</v>
      </c>
      <c r="C7" t="s">
        <v>242</v>
      </c>
    </row>
    <row r="8" spans="1:3">
      <c r="A8" s="1">
        <v>44317</v>
      </c>
      <c r="B8">
        <v>149.01</v>
      </c>
      <c r="C8" t="s">
        <v>243</v>
      </c>
    </row>
    <row r="9" spans="1:3">
      <c r="A9" s="1">
        <v>44348</v>
      </c>
      <c r="B9">
        <v>161.31</v>
      </c>
      <c r="C9" t="s">
        <v>244</v>
      </c>
    </row>
    <row r="10" spans="1:3">
      <c r="A10" s="1">
        <v>44378</v>
      </c>
      <c r="B10">
        <v>164.91</v>
      </c>
      <c r="C10" t="s">
        <v>245</v>
      </c>
    </row>
    <row r="11" spans="1:3">
      <c r="A11" s="1">
        <v>44409</v>
      </c>
      <c r="B11">
        <v>156.1</v>
      </c>
      <c r="C11" t="s">
        <v>246</v>
      </c>
    </row>
    <row r="12" spans="1:3">
      <c r="A12" s="1">
        <v>44440</v>
      </c>
      <c r="B12">
        <v>165.15</v>
      </c>
      <c r="C12" t="s">
        <v>247</v>
      </c>
    </row>
    <row r="13" spans="1:3">
      <c r="A13" s="1">
        <v>44470</v>
      </c>
      <c r="B13">
        <v>187.03</v>
      </c>
      <c r="C13" t="s">
        <v>248</v>
      </c>
    </row>
    <row r="14" spans="1:3">
      <c r="A14" s="1">
        <v>44501</v>
      </c>
      <c r="B14">
        <v>182.05</v>
      </c>
      <c r="C14" t="s">
        <v>249</v>
      </c>
    </row>
    <row r="15" spans="1:3">
      <c r="A15" s="1">
        <v>44531</v>
      </c>
      <c r="B15">
        <v>168.08</v>
      </c>
      <c r="C15" t="s">
        <v>250</v>
      </c>
    </row>
    <row r="16" spans="1:3">
      <c r="A16" s="1">
        <v>44562</v>
      </c>
      <c r="B16">
        <v>193.11</v>
      </c>
      <c r="C16" t="s">
        <v>251</v>
      </c>
    </row>
    <row r="17" spans="1:3">
      <c r="A17" s="1">
        <v>44593</v>
      </c>
      <c r="B17">
        <v>212.07</v>
      </c>
      <c r="C17" t="s">
        <v>252</v>
      </c>
    </row>
    <row r="18" spans="1:3">
      <c r="A18" s="1">
        <v>44621</v>
      </c>
      <c r="B18">
        <v>254.43</v>
      </c>
      <c r="C18" t="s">
        <v>253</v>
      </c>
    </row>
    <row r="19" spans="1:3">
      <c r="A19" s="1">
        <v>44652</v>
      </c>
      <c r="B19">
        <v>244.04</v>
      </c>
      <c r="C19" t="s">
        <v>254</v>
      </c>
    </row>
    <row r="20" spans="1:3">
      <c r="A20" s="1">
        <v>44682</v>
      </c>
      <c r="B20">
        <v>263.12</v>
      </c>
      <c r="C20" t="s">
        <v>255</v>
      </c>
    </row>
    <row r="21" spans="1:3">
      <c r="A21" s="1">
        <v>44713</v>
      </c>
      <c r="B21">
        <v>275.43</v>
      </c>
      <c r="C21" t="s">
        <v>256</v>
      </c>
    </row>
    <row r="22" spans="1:3">
      <c r="A22" s="1">
        <v>44743</v>
      </c>
      <c r="B22">
        <v>250.05</v>
      </c>
      <c r="C22" t="s">
        <v>257</v>
      </c>
    </row>
    <row r="23" spans="1:3">
      <c r="A23" s="1">
        <v>44774</v>
      </c>
      <c r="B23">
        <v>233.9</v>
      </c>
      <c r="C23" t="s">
        <v>258</v>
      </c>
    </row>
    <row r="24" spans="1:3">
      <c r="A24" s="1">
        <v>44805</v>
      </c>
      <c r="B24">
        <v>219.82</v>
      </c>
      <c r="C24" t="s">
        <v>259</v>
      </c>
    </row>
    <row r="25" spans="1:3">
      <c r="A25" s="1">
        <v>44835</v>
      </c>
      <c r="B25">
        <v>227.63</v>
      </c>
      <c r="C25" t="s">
        <v>260</v>
      </c>
    </row>
    <row r="26" spans="1:3">
      <c r="A26" s="1">
        <v>44866</v>
      </c>
      <c r="B26">
        <v>213.71</v>
      </c>
      <c r="C26" t="s">
        <v>261</v>
      </c>
    </row>
    <row r="27" spans="1:3">
      <c r="A27" s="1">
        <v>44896</v>
      </c>
      <c r="B27">
        <v>189.3</v>
      </c>
      <c r="C27" t="s">
        <v>262</v>
      </c>
    </row>
    <row r="28" spans="1:3">
      <c r="A28" s="1">
        <v>44927</v>
      </c>
      <c r="B28">
        <v>193.77</v>
      </c>
      <c r="C28" t="s">
        <v>263</v>
      </c>
    </row>
    <row r="29" spans="1:3">
      <c r="A29" s="1">
        <v>44958</v>
      </c>
      <c r="B29">
        <v>193.61</v>
      </c>
      <c r="C29" t="s">
        <v>264</v>
      </c>
    </row>
    <row r="30" spans="1:3">
      <c r="A30" s="1">
        <v>44986</v>
      </c>
      <c r="B30">
        <v>185.09</v>
      </c>
      <c r="C30" t="s">
        <v>265</v>
      </c>
    </row>
    <row r="31" spans="1:3">
      <c r="A31" s="1">
        <v>45017</v>
      </c>
      <c r="B31">
        <v>195.46</v>
      </c>
      <c r="C31" t="s">
        <v>266</v>
      </c>
    </row>
    <row r="32" spans="1:3">
      <c r="A32" s="1">
        <v>45047</v>
      </c>
      <c r="B32">
        <v>177.5</v>
      </c>
      <c r="C32" t="s">
        <v>267</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4F9911-A6D3-4C7C-8870-22BDAC6F8E5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abhijeet soni</dc:creator>
  <cp:keywords/>
  <dc:description/>
  <cp:lastModifiedBy/>
  <cp:revision/>
  <dcterms:created xsi:type="dcterms:W3CDTF">2026-10-08T23:53:16Z</dcterms:created>
  <dcterms:modified xsi:type="dcterms:W3CDTF">2026-10-09T21:23:59Z</dcterms:modified>
  <cp:category/>
  <cp:contentStatus/>
</cp:coreProperties>
</file>